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ccf978dcd25758f8/Documents/COSDA team/"/>
    </mc:Choice>
  </mc:AlternateContent>
  <xr:revisionPtr revIDLastSave="3178" documentId="8_{19D4BEB8-806D-433C-A2FC-8197CBE2AD84}" xr6:coauthVersionLast="47" xr6:coauthVersionMax="47" xr10:uidLastSave="{12D2DC9A-149D-4B20-BEB7-468AB534D7DC}"/>
  <bookViews>
    <workbookView xWindow="-110" yWindow="-110" windowWidth="19420" windowHeight="11500" firstSheet="6" activeTab="9" xr2:uid="{721E8B44-5AD0-40EC-A89C-15AD99F1DFDA}"/>
  </bookViews>
  <sheets>
    <sheet name="Original_data" sheetId="1" r:id="rId1"/>
    <sheet name="cleandata1.0" sheetId="2" r:id="rId2"/>
    <sheet name="powerquerycleandata2.0" sheetId="13" r:id="rId3"/>
    <sheet name="Business_Questions" sheetId="3" r:id="rId4"/>
    <sheet name="PresentAnalysis1.0" sheetId="5" r:id="rId5"/>
    <sheet name="FutureAnalysis1.0" sheetId="14" r:id="rId6"/>
    <sheet name="FutureAnalysis2.0" sheetId="16" r:id="rId7"/>
    <sheet name="Interpretation_Analysis" sheetId="18" r:id="rId8"/>
    <sheet name="Summary" sheetId="19" r:id="rId9"/>
    <sheet name="Dashboard" sheetId="15" r:id="rId10"/>
  </sheets>
  <definedNames>
    <definedName name="ExternalData_1" localSheetId="2" hidden="1">powerquerycleandata2.0!$A$1:$E$377</definedName>
    <definedName name="NativeTimeline_date.1">#N/A</definedName>
    <definedName name="Slicer_artist">#N/A</definedName>
    <definedName name="Slicer_track">#N/A</definedName>
    <definedName name="Slicer_week_of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3" l="1"/>
  <c r="G39" i="14"/>
  <c r="G40" i="14"/>
  <c r="G41" i="14"/>
  <c r="G42" i="14"/>
  <c r="G43" i="14"/>
  <c r="G44" i="14"/>
  <c r="G38" i="14"/>
  <c r="F44" i="14"/>
  <c r="H44" i="14" s="1" a="1"/>
  <c r="H44" i="14" s="1"/>
  <c r="F43" i="14"/>
  <c r="H43" i="14" s="1" a="1"/>
  <c r="H43" i="14" s="1"/>
  <c r="F42" i="14"/>
  <c r="H42" i="14" s="1" a="1"/>
  <c r="H42" i="14" s="1"/>
  <c r="F41" i="14"/>
  <c r="H41" i="14" s="1" a="1"/>
  <c r="H41" i="14" s="1"/>
  <c r="F40" i="14"/>
  <c r="H40" i="14" s="1" a="1"/>
  <c r="H40" i="14" s="1"/>
  <c r="F39" i="14"/>
  <c r="H39" i="14" s="1" a="1"/>
  <c r="H39" i="14" s="1"/>
  <c r="F38" i="14"/>
  <c r="H38" i="14" s="1" a="1"/>
  <c r="H38" i="14" s="1"/>
  <c r="D44" i="14"/>
  <c r="D43" i="14"/>
  <c r="D42" i="14"/>
  <c r="D41" i="14"/>
  <c r="D40" i="14"/>
  <c r="D39" i="14"/>
  <c r="D38" i="14"/>
  <c r="C13" i="16"/>
  <c r="C14" i="16"/>
  <c r="D13" i="16" l="1"/>
  <c r="E13" i="16"/>
  <c r="D14" i="16"/>
  <c r="E14"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EA14E5-44D7-45C4-B585-4F96879CC0E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<sst xmlns="http://schemas.openxmlformats.org/spreadsheetml/2006/main" count="3184" uniqueCount="70">
  <si>
    <t>date</t>
  </si>
  <si>
    <t>track</t>
  </si>
  <si>
    <t>artist</t>
  </si>
  <si>
    <t>streams</t>
  </si>
  <si>
    <t>day_of_week</t>
  </si>
  <si>
    <t>week_of_year</t>
  </si>
  <si>
    <t>All I Want for Christmas Is You</t>
  </si>
  <si>
    <t>Mariah Carey</t>
  </si>
  <si>
    <t>Thursday</t>
  </si>
  <si>
    <t>Last Christmas</t>
  </si>
  <si>
    <t>Wham!</t>
  </si>
  <si>
    <t>It's Beginning to Look a Lot Like Christmas</t>
  </si>
  <si>
    <t>Michael BublÃ©</t>
  </si>
  <si>
    <t>Rockin' Around the Christmas Tree</t>
  </si>
  <si>
    <t>Brenda Lee</t>
  </si>
  <si>
    <t>Santa Tell Me</t>
  </si>
  <si>
    <t>Ariana Grande</t>
  </si>
  <si>
    <t>Feliz Navidad</t>
  </si>
  <si>
    <t>JosÃ© Feliciano</t>
  </si>
  <si>
    <t>Jingle Bell Rock</t>
  </si>
  <si>
    <t>Bobby Helms</t>
  </si>
  <si>
    <t>Sum of streams</t>
  </si>
  <si>
    <t>Row Labels</t>
  </si>
  <si>
    <t>Grand Total</t>
  </si>
  <si>
    <t>2017</t>
  </si>
  <si>
    <t>2018</t>
  </si>
  <si>
    <t>2019</t>
  </si>
  <si>
    <t>2020</t>
  </si>
  <si>
    <t>2021</t>
  </si>
  <si>
    <t>2022</t>
  </si>
  <si>
    <t>2023</t>
  </si>
  <si>
    <t>2024</t>
  </si>
  <si>
    <t>2025</t>
  </si>
  <si>
    <t>Average of week_of_year</t>
  </si>
  <si>
    <t>Column Labels</t>
  </si>
  <si>
    <t>Average of streams</t>
  </si>
  <si>
    <t>date.1</t>
  </si>
  <si>
    <t>Forecast(Sum of streams)</t>
  </si>
  <si>
    <t>Lower Confidence Bound(Sum of streams)</t>
  </si>
  <si>
    <t>Upper Confidence Bound(Sum of streams)</t>
  </si>
  <si>
    <t>(All)</t>
  </si>
  <si>
    <t>Avg, streams</t>
  </si>
  <si>
    <t>Avg week</t>
  </si>
  <si>
    <t>Avg christmas week</t>
  </si>
  <si>
    <t>IF Analysis Avg weeks</t>
  </si>
  <si>
    <t>Ranking avg streams</t>
  </si>
  <si>
    <t>80s and Modern Classics</t>
  </si>
  <si>
    <t>Classics(Older Era)</t>
  </si>
  <si>
    <t>21st Century Favorite</t>
  </si>
  <si>
    <t>Type of Music</t>
  </si>
  <si>
    <t>Jan</t>
  </si>
  <si>
    <t>Nov</t>
  </si>
  <si>
    <t>Dec</t>
  </si>
  <si>
    <t>QUESTION 2: Which Christmas songs are the most streamed across all years?</t>
  </si>
  <si>
    <t>QUESTION 3: Do some artists consistently outperform others each Christmas season?</t>
  </si>
  <si>
    <t>QUESTION 4: Which weeks of the year have the highest Christmas streaming activity?</t>
  </si>
  <si>
    <t>QUESTION 5: How fast do streams grow as Christmas approaches?</t>
  </si>
  <si>
    <t>WoW % Growth</t>
  </si>
  <si>
    <t>QUESTION 6: Which Christmas songs are rising or declining over the years?</t>
  </si>
  <si>
    <t>RESEARCH QUESTIONS(PRESENT) ANALYSIS USING ALL DATA</t>
  </si>
  <si>
    <t>PREDICTION QUESTIONS (FUTURE) ANALYSIS USING DATA 2020 TO 2024 (Explanation in Prediction Analysis sheet)</t>
  </si>
  <si>
    <t>%Difference from base year</t>
  </si>
  <si>
    <t>QUESTION 1: How do each Christmas song streams change from mid-November to Christmas?</t>
  </si>
  <si>
    <t>PREDICTION ANALYSIS</t>
  </si>
  <si>
    <t xml:space="preserve">QUESTION 7: Predict the growth of these christmas streams </t>
  </si>
  <si>
    <t>QUESTION 8: Are there any exceptions or anomalies that affect future data</t>
  </si>
  <si>
    <t>QUESTION 9: If a new christmas hit was released today, will it do better than older hits?</t>
  </si>
  <si>
    <t xml:space="preserve">QUESTION 10: Is it possible to use if analysis to predict which artists would be big and why 
</t>
  </si>
  <si>
    <r>
      <t xml:space="preserve">THE CHRISTMAS SPOTIFY HIT </t>
    </r>
    <r>
      <rPr>
        <b/>
        <sz val="28"/>
        <rFont val="Aptos Narrow"/>
        <family val="2"/>
        <scheme val="minor"/>
      </rPr>
      <t>(RESEARCH ANALYSIS)</t>
    </r>
  </si>
  <si>
    <t>QUESTION 7: Predict the growth of these christmas streams over the next two years individually and as 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</si>
</sst>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NG,1]dd/mm/yyyy;@"/>
    <numFmt numFmtId="165" formatCode=";;;"/>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rgb="FFFF0000"/>
      <name val="Aptos Narrow"/>
      <family val="2"/>
      <scheme val="minor"/>
    </font>
    <font>
      <sz val="11"/>
      <color rgb="FF000000"/>
      <name val="Aptos Narrow"/>
      <family val="2"/>
      <scheme val="minor"/>
    </font>
    <font>
      <b/>
      <sz val="26"/>
      <color theme="1"/>
      <name val="Aptos Narrow"/>
      <family val="2"/>
      <scheme val="minor"/>
    </font>
    <font>
      <sz val="28"/>
      <color rgb="FFFF0000"/>
      <name val="Aptos Narrow"/>
      <family val="2"/>
      <scheme val="minor"/>
    </font>
    <font>
      <b/>
      <sz val="28"/>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indexed="64"/>
      </patternFill>
    </fill>
    <fill>
      <patternFill patternType="solid">
        <fgColor theme="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14" fontId="0" fillId="0" borderId="0" xfId="0" applyNumberFormat="1"/>
    <xf numFmtId="0" fontId="0" fillId="0" borderId="10" xfId="0" applyBorder="1"/>
    <xf numFmtId="0" fontId="0" fillId="0" borderId="14" xfId="0" applyBorder="1"/>
    <xf numFmtId="0" fontId="0" fillId="0" borderId="17" xfId="0" applyBorder="1"/>
    <xf numFmtId="1" fontId="0" fillId="0" borderId="15" xfId="0" applyNumberFormat="1" applyBorder="1"/>
    <xf numFmtId="1" fontId="0" fillId="0" borderId="12" xfId="0" applyNumberFormat="1" applyBorder="1"/>
    <xf numFmtId="1" fontId="0" fillId="0" borderId="18" xfId="0" applyNumberFormat="1" applyBorder="1"/>
    <xf numFmtId="1" fontId="0" fillId="0" borderId="14" xfId="0" applyNumberFormat="1" applyBorder="1"/>
    <xf numFmtId="1" fontId="0" fillId="0" borderId="10" xfId="0" applyNumberFormat="1" applyBorder="1"/>
    <xf numFmtId="1" fontId="0" fillId="0" borderId="17" xfId="0" applyNumberFormat="1" applyBorder="1"/>
    <xf numFmtId="164" fontId="0" fillId="0" borderId="13" xfId="0" applyNumberFormat="1" applyBorder="1"/>
    <xf numFmtId="164" fontId="0" fillId="0" borderId="11" xfId="0" applyNumberFormat="1" applyBorder="1"/>
    <xf numFmtId="164" fontId="0" fillId="0" borderId="16" xfId="0" applyNumberFormat="1" applyBorder="1"/>
    <xf numFmtId="1" fontId="0" fillId="0" borderId="0" xfId="0" applyNumberFormat="1"/>
    <xf numFmtId="165" fontId="0" fillId="0" borderId="0" xfId="0" applyNumberFormat="1"/>
    <xf numFmtId="0" fontId="0" fillId="0" borderId="15" xfId="0" applyBorder="1"/>
    <xf numFmtId="0" fontId="0" fillId="0" borderId="13" xfId="0" applyBorder="1"/>
    <xf numFmtId="0" fontId="0" fillId="0" borderId="18" xfId="0" applyBorder="1"/>
    <xf numFmtId="0" fontId="0" fillId="0" borderId="12" xfId="0" applyBorder="1"/>
    <xf numFmtId="0" fontId="0" fillId="0" borderId="10" xfId="0" pivotButton="1" applyBorder="1"/>
    <xf numFmtId="0" fontId="0" fillId="0" borderId="10" xfId="0" applyBorder="1" applyAlignment="1">
      <alignment horizontal="left"/>
    </xf>
    <xf numFmtId="0" fontId="16" fillId="33" borderId="10" xfId="0" applyFont="1" applyFill="1" applyBorder="1"/>
    <xf numFmtId="14" fontId="0" fillId="0" borderId="11" xfId="0" applyNumberFormat="1" applyBorder="1"/>
    <xf numFmtId="14" fontId="0" fillId="0" borderId="16" xfId="0" applyNumberFormat="1" applyBorder="1"/>
    <xf numFmtId="0" fontId="0" fillId="0" borderId="10" xfId="0" applyBorder="1" applyAlignment="1">
      <alignment horizontal="left" indent="1"/>
    </xf>
    <xf numFmtId="0" fontId="16" fillId="0" borderId="10" xfId="0" applyFont="1" applyBorder="1"/>
    <xf numFmtId="0" fontId="16" fillId="0" borderId="19" xfId="0" applyFont="1" applyBorder="1" applyAlignment="1">
      <alignment horizontal="left"/>
    </xf>
    <xf numFmtId="0" fontId="16" fillId="0" borderId="19" xfId="0" applyFont="1" applyBorder="1"/>
    <xf numFmtId="0" fontId="16" fillId="0" borderId="10" xfId="0" applyFont="1" applyBorder="1" applyAlignment="1">
      <alignment horizontal="left"/>
    </xf>
    <xf numFmtId="1" fontId="16" fillId="0" borderId="10" xfId="0" applyNumberFormat="1" applyFont="1" applyBorder="1"/>
    <xf numFmtId="17" fontId="0" fillId="0" borderId="11" xfId="0" applyNumberFormat="1" applyBorder="1"/>
    <xf numFmtId="0" fontId="19" fillId="0" borderId="10" xfId="0" applyFont="1" applyBorder="1"/>
    <xf numFmtId="17" fontId="0" fillId="0" borderId="16" xfId="0" applyNumberFormat="1" applyBorder="1"/>
    <xf numFmtId="0" fontId="0" fillId="0" borderId="0" xfId="0" pivotButton="1"/>
    <xf numFmtId="0" fontId="0" fillId="0" borderId="0" xfId="0" applyAlignment="1">
      <alignment horizontal="left"/>
    </xf>
    <xf numFmtId="0" fontId="0" fillId="0" borderId="0" xfId="0" applyAlignment="1">
      <alignment horizontal="center"/>
    </xf>
    <xf numFmtId="10" fontId="0" fillId="0" borderId="10" xfId="0" applyNumberFormat="1" applyBorder="1"/>
    <xf numFmtId="0" fontId="19" fillId="0" borderId="0" xfId="0" applyFont="1" applyAlignment="1">
      <alignment horizontal="left"/>
    </xf>
    <xf numFmtId="0" fontId="0" fillId="35" borderId="0" xfId="0" applyFill="1"/>
    <xf numFmtId="0" fontId="0" fillId="35" borderId="24" xfId="0" applyFill="1" applyBorder="1"/>
    <xf numFmtId="0" fontId="0" fillId="35" borderId="23" xfId="0" applyFill="1" applyBorder="1"/>
    <xf numFmtId="165" fontId="0" fillId="35" borderId="0" xfId="0" applyNumberFormat="1" applyFill="1"/>
    <xf numFmtId="0" fontId="0" fillId="35" borderId="25" xfId="0" applyFill="1" applyBorder="1"/>
    <xf numFmtId="0" fontId="0" fillId="35" borderId="26" xfId="0" applyFill="1" applyBorder="1"/>
    <xf numFmtId="0" fontId="0" fillId="35" borderId="27" xfId="0" applyFill="1" applyBorder="1"/>
    <xf numFmtId="0" fontId="14" fillId="34" borderId="21" xfId="0" applyFont="1" applyFill="1" applyBorder="1"/>
    <xf numFmtId="0" fontId="14" fillId="34" borderId="22" xfId="0" applyFont="1" applyFill="1" applyBorder="1"/>
    <xf numFmtId="0" fontId="14" fillId="34" borderId="0" xfId="0" applyFont="1" applyFill="1"/>
    <xf numFmtId="0" fontId="14" fillId="34" borderId="24" xfId="0" applyFont="1" applyFill="1" applyBorder="1"/>
    <xf numFmtId="0" fontId="18" fillId="34" borderId="20" xfId="0" applyFont="1" applyFill="1" applyBorder="1" applyAlignment="1">
      <alignment horizontal="center"/>
    </xf>
    <xf numFmtId="0" fontId="21" fillId="34" borderId="21" xfId="0" applyFont="1" applyFill="1" applyBorder="1" applyAlignment="1">
      <alignment horizontal="center"/>
    </xf>
    <xf numFmtId="0" fontId="21" fillId="34" borderId="23" xfId="0" applyFont="1" applyFill="1" applyBorder="1" applyAlignment="1">
      <alignment horizontal="center"/>
    </xf>
    <xf numFmtId="0" fontId="21" fillId="34" borderId="0" xfId="0" applyFont="1" applyFill="1" applyAlignment="1">
      <alignment horizontal="center"/>
    </xf>
    <xf numFmtId="0" fontId="0" fillId="35" borderId="0" xfId="0" applyFill="1" applyAlignment="1">
      <alignment horizontal="center"/>
    </xf>
    <xf numFmtId="0" fontId="0" fillId="35" borderId="24" xfId="0" applyFill="1" applyBorder="1" applyAlignment="1">
      <alignment horizontal="center"/>
    </xf>
    <xf numFmtId="0" fontId="16" fillId="35" borderId="0" xfId="0" applyFont="1" applyFill="1" applyAlignment="1">
      <alignment horizontal="center"/>
    </xf>
    <xf numFmtId="0" fontId="20" fillId="34" borderId="23" xfId="0" applyFont="1" applyFill="1" applyBorder="1" applyAlignment="1">
      <alignment horizontal="center"/>
    </xf>
    <xf numFmtId="0" fontId="0" fillId="34" borderId="0" xfId="0" applyFill="1" applyAlignment="1">
      <alignment horizontal="center"/>
    </xf>
    <xf numFmtId="0" fontId="0" fillId="34" borderId="24" xfId="0" applyFill="1" applyBorder="1" applyAlignment="1">
      <alignment horizontal="center"/>
    </xf>
    <xf numFmtId="0" fontId="0" fillId="34" borderId="23" xfId="0" applyFill="1" applyBorder="1" applyAlignment="1">
      <alignment horizontal="center"/>
    </xf>
    <xf numFmtId="0" fontId="0" fillId="0" borderId="0" xfId="0" applyAlignment="1">
      <alignment horizontal="left"/>
    </xf>
    <xf numFmtId="0" fontId="0" fillId="0" borderId="28" xfId="0" applyBorder="1" applyAlignment="1">
      <alignment horizontal="left"/>
    </xf>
    <xf numFmtId="0" fontId="16" fillId="0" borderId="0" xfId="0" applyFont="1" applyAlignment="1">
      <alignment horizontal="center"/>
    </xf>
    <xf numFmtId="0" fontId="0" fillId="0" borderId="0" xfId="0" applyAlignment="1">
      <alignment horizontal="center"/>
    </xf>
    <xf numFmtId="0" fontId="0" fillId="0" borderId="28" xfId="0" applyBorder="1" applyAlignment="1">
      <alignment horizontal="left" wrapText="1"/>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numFmt numFmtId="1" formatCode="0"/>
      <border diagonalUp="0" diagonalDown="0">
        <left style="thin">
          <color indexed="64"/>
        </left>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yyyy;@" x16r2:formatCode16="[$-en-NG,1]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CC3300"/>
      <color rgb="FFFF3300"/>
      <color rgb="FFE25B00"/>
      <color rgb="FFFF9900"/>
      <color rgb="FFFF7C3B"/>
      <color rgb="FFFF860D"/>
      <color rgb="FFCDC800"/>
      <color rgb="FFFF9933"/>
      <color rgb="FFFFCC00"/>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Streams from each year vs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PresentAnalysis1.0!$B$4:$B$5</c:f>
              <c:strCache>
                <c:ptCount val="1"/>
                <c:pt idx="0">
                  <c:v>All I Want for Christmas Is You</c:v>
                </c:pt>
              </c:strCache>
            </c:strRef>
          </c:tx>
          <c:spPr>
            <a:solidFill>
              <a:schemeClr val="accent1"/>
            </a:solidFill>
            <a:ln>
              <a:noFill/>
            </a:ln>
            <a:effectLst/>
            <a:sp3d/>
          </c:spPr>
          <c:invertIfNegative val="0"/>
          <c:cat>
            <c:strRef>
              <c:f>PresentAnalysis1.0!$A$6:$A$9</c:f>
              <c:strCache>
                <c:ptCount val="3"/>
                <c:pt idx="0">
                  <c:v>Jan</c:v>
                </c:pt>
                <c:pt idx="1">
                  <c:v>Nov</c:v>
                </c:pt>
                <c:pt idx="2">
                  <c:v>Dec</c:v>
                </c:pt>
              </c:strCache>
            </c:strRef>
          </c:cat>
          <c:val>
            <c:numRef>
              <c:f>PresentAnalysis1.0!$B$6:$B$9</c:f>
              <c:numCache>
                <c:formatCode>0</c:formatCode>
                <c:ptCount val="3"/>
                <c:pt idx="0">
                  <c:v>16441641</c:v>
                </c:pt>
                <c:pt idx="1">
                  <c:v>419200097</c:v>
                </c:pt>
                <c:pt idx="2">
                  <c:v>1336759784</c:v>
                </c:pt>
              </c:numCache>
            </c:numRef>
          </c:val>
          <c:extLst>
            <c:ext xmlns:c16="http://schemas.microsoft.com/office/drawing/2014/chart" uri="{C3380CC4-5D6E-409C-BE32-E72D297353CC}">
              <c16:uniqueId val="{00000000-A592-4D10-9BA1-7CFB55866EC6}"/>
            </c:ext>
          </c:extLst>
        </c:ser>
        <c:ser>
          <c:idx val="1"/>
          <c:order val="1"/>
          <c:tx>
            <c:strRef>
              <c:f>PresentAnalysis1.0!$C$4:$C$5</c:f>
              <c:strCache>
                <c:ptCount val="1"/>
                <c:pt idx="0">
                  <c:v>Feliz Navidad</c:v>
                </c:pt>
              </c:strCache>
            </c:strRef>
          </c:tx>
          <c:spPr>
            <a:solidFill>
              <a:schemeClr val="accent2"/>
            </a:solidFill>
            <a:ln>
              <a:noFill/>
            </a:ln>
            <a:effectLst/>
            <a:sp3d/>
          </c:spPr>
          <c:invertIfNegative val="0"/>
          <c:cat>
            <c:strRef>
              <c:f>PresentAnalysis1.0!$A$6:$A$9</c:f>
              <c:strCache>
                <c:ptCount val="3"/>
                <c:pt idx="0">
                  <c:v>Jan</c:v>
                </c:pt>
                <c:pt idx="1">
                  <c:v>Nov</c:v>
                </c:pt>
                <c:pt idx="2">
                  <c:v>Dec</c:v>
                </c:pt>
              </c:strCache>
            </c:strRef>
          </c:cat>
          <c:val>
            <c:numRef>
              <c:f>PresentAnalysis1.0!$C$6:$C$9</c:f>
              <c:numCache>
                <c:formatCode>0</c:formatCode>
                <c:ptCount val="3"/>
                <c:pt idx="1">
                  <c:v>39518822</c:v>
                </c:pt>
                <c:pt idx="2">
                  <c:v>593376305</c:v>
                </c:pt>
              </c:numCache>
            </c:numRef>
          </c:val>
          <c:extLst>
            <c:ext xmlns:c16="http://schemas.microsoft.com/office/drawing/2014/chart" uri="{C3380CC4-5D6E-409C-BE32-E72D297353CC}">
              <c16:uniqueId val="{00000025-858A-43D9-A5DA-D20217A6F7FE}"/>
            </c:ext>
          </c:extLst>
        </c:ser>
        <c:ser>
          <c:idx val="2"/>
          <c:order val="2"/>
          <c:tx>
            <c:strRef>
              <c:f>PresentAnalysis1.0!$D$4:$D$5</c:f>
              <c:strCache>
                <c:ptCount val="1"/>
                <c:pt idx="0">
                  <c:v>It's Beginning to Look a Lot Like Christmas</c:v>
                </c:pt>
              </c:strCache>
            </c:strRef>
          </c:tx>
          <c:spPr>
            <a:solidFill>
              <a:schemeClr val="accent3"/>
            </a:solidFill>
            <a:ln>
              <a:noFill/>
            </a:ln>
            <a:effectLst/>
            <a:sp3d/>
          </c:spPr>
          <c:invertIfNegative val="0"/>
          <c:cat>
            <c:strRef>
              <c:f>PresentAnalysis1.0!$A$6:$A$9</c:f>
              <c:strCache>
                <c:ptCount val="3"/>
                <c:pt idx="0">
                  <c:v>Jan</c:v>
                </c:pt>
                <c:pt idx="1">
                  <c:v>Nov</c:v>
                </c:pt>
                <c:pt idx="2">
                  <c:v>Dec</c:v>
                </c:pt>
              </c:strCache>
            </c:strRef>
          </c:cat>
          <c:val>
            <c:numRef>
              <c:f>PresentAnalysis1.0!$D$6:$D$9</c:f>
              <c:numCache>
                <c:formatCode>0</c:formatCode>
                <c:ptCount val="3"/>
                <c:pt idx="1">
                  <c:v>133868388</c:v>
                </c:pt>
                <c:pt idx="2">
                  <c:v>793680111</c:v>
                </c:pt>
              </c:numCache>
            </c:numRef>
          </c:val>
          <c:extLst>
            <c:ext xmlns:c16="http://schemas.microsoft.com/office/drawing/2014/chart" uri="{C3380CC4-5D6E-409C-BE32-E72D297353CC}">
              <c16:uniqueId val="{00000026-858A-43D9-A5DA-D20217A6F7FE}"/>
            </c:ext>
          </c:extLst>
        </c:ser>
        <c:ser>
          <c:idx val="3"/>
          <c:order val="3"/>
          <c:tx>
            <c:strRef>
              <c:f>PresentAnalysis1.0!$E$4:$E$5</c:f>
              <c:strCache>
                <c:ptCount val="1"/>
                <c:pt idx="0">
                  <c:v>Jingle Bell Rock</c:v>
                </c:pt>
              </c:strCache>
            </c:strRef>
          </c:tx>
          <c:spPr>
            <a:solidFill>
              <a:schemeClr val="accent4"/>
            </a:solidFill>
            <a:ln>
              <a:noFill/>
            </a:ln>
            <a:effectLst/>
            <a:sp3d/>
          </c:spPr>
          <c:invertIfNegative val="0"/>
          <c:cat>
            <c:strRef>
              <c:f>PresentAnalysis1.0!$A$6:$A$9</c:f>
              <c:strCache>
                <c:ptCount val="3"/>
                <c:pt idx="0">
                  <c:v>Jan</c:v>
                </c:pt>
                <c:pt idx="1">
                  <c:v>Nov</c:v>
                </c:pt>
                <c:pt idx="2">
                  <c:v>Dec</c:v>
                </c:pt>
              </c:strCache>
            </c:strRef>
          </c:cat>
          <c:val>
            <c:numRef>
              <c:f>PresentAnalysis1.0!$E$6:$E$9</c:f>
              <c:numCache>
                <c:formatCode>0</c:formatCode>
                <c:ptCount val="3"/>
                <c:pt idx="1">
                  <c:v>177712766</c:v>
                </c:pt>
                <c:pt idx="2">
                  <c:v>851173279</c:v>
                </c:pt>
              </c:numCache>
            </c:numRef>
          </c:val>
          <c:extLst>
            <c:ext xmlns:c16="http://schemas.microsoft.com/office/drawing/2014/chart" uri="{C3380CC4-5D6E-409C-BE32-E72D297353CC}">
              <c16:uniqueId val="{0000002B-858A-43D9-A5DA-D20217A6F7FE}"/>
            </c:ext>
          </c:extLst>
        </c:ser>
        <c:ser>
          <c:idx val="4"/>
          <c:order val="4"/>
          <c:tx>
            <c:strRef>
              <c:f>PresentAnalysis1.0!$F$4:$F$5</c:f>
              <c:strCache>
                <c:ptCount val="1"/>
                <c:pt idx="0">
                  <c:v>Last Christmas</c:v>
                </c:pt>
              </c:strCache>
            </c:strRef>
          </c:tx>
          <c:spPr>
            <a:solidFill>
              <a:schemeClr val="accent5"/>
            </a:solidFill>
            <a:ln>
              <a:noFill/>
            </a:ln>
            <a:effectLst/>
            <a:sp3d/>
          </c:spPr>
          <c:invertIfNegative val="0"/>
          <c:cat>
            <c:strRef>
              <c:f>PresentAnalysis1.0!$A$6:$A$9</c:f>
              <c:strCache>
                <c:ptCount val="3"/>
                <c:pt idx="0">
                  <c:v>Jan</c:v>
                </c:pt>
                <c:pt idx="1">
                  <c:v>Nov</c:v>
                </c:pt>
                <c:pt idx="2">
                  <c:v>Dec</c:v>
                </c:pt>
              </c:strCache>
            </c:strRef>
          </c:cat>
          <c:val>
            <c:numRef>
              <c:f>PresentAnalysis1.0!$F$6:$F$9</c:f>
              <c:numCache>
                <c:formatCode>0</c:formatCode>
                <c:ptCount val="3"/>
                <c:pt idx="0">
                  <c:v>19479485</c:v>
                </c:pt>
                <c:pt idx="1">
                  <c:v>315022347</c:v>
                </c:pt>
                <c:pt idx="2">
                  <c:v>1169916439</c:v>
                </c:pt>
              </c:numCache>
            </c:numRef>
          </c:val>
          <c:extLst>
            <c:ext xmlns:c16="http://schemas.microsoft.com/office/drawing/2014/chart" uri="{C3380CC4-5D6E-409C-BE32-E72D297353CC}">
              <c16:uniqueId val="{0000002C-858A-43D9-A5DA-D20217A6F7FE}"/>
            </c:ext>
          </c:extLst>
        </c:ser>
        <c:ser>
          <c:idx val="5"/>
          <c:order val="5"/>
          <c:tx>
            <c:strRef>
              <c:f>PresentAnalysis1.0!$G$4:$G$5</c:f>
              <c:strCache>
                <c:ptCount val="1"/>
                <c:pt idx="0">
                  <c:v>Rockin' Around the Christmas Tree</c:v>
                </c:pt>
              </c:strCache>
            </c:strRef>
          </c:tx>
          <c:spPr>
            <a:solidFill>
              <a:schemeClr val="accent6"/>
            </a:solidFill>
            <a:ln>
              <a:noFill/>
            </a:ln>
            <a:effectLst/>
            <a:sp3d/>
          </c:spPr>
          <c:invertIfNegative val="0"/>
          <c:cat>
            <c:strRef>
              <c:f>PresentAnalysis1.0!$A$6:$A$9</c:f>
              <c:strCache>
                <c:ptCount val="3"/>
                <c:pt idx="0">
                  <c:v>Jan</c:v>
                </c:pt>
                <c:pt idx="1">
                  <c:v>Nov</c:v>
                </c:pt>
                <c:pt idx="2">
                  <c:v>Dec</c:v>
                </c:pt>
              </c:strCache>
            </c:strRef>
          </c:cat>
          <c:val>
            <c:numRef>
              <c:f>PresentAnalysis1.0!$G$6:$G$9</c:f>
              <c:numCache>
                <c:formatCode>0</c:formatCode>
                <c:ptCount val="3"/>
                <c:pt idx="0">
                  <c:v>8533518</c:v>
                </c:pt>
                <c:pt idx="1">
                  <c:v>203755839</c:v>
                </c:pt>
                <c:pt idx="2">
                  <c:v>950593651</c:v>
                </c:pt>
              </c:numCache>
            </c:numRef>
          </c:val>
          <c:extLst>
            <c:ext xmlns:c16="http://schemas.microsoft.com/office/drawing/2014/chart" uri="{C3380CC4-5D6E-409C-BE32-E72D297353CC}">
              <c16:uniqueId val="{0000002D-858A-43D9-A5DA-D20217A6F7FE}"/>
            </c:ext>
          </c:extLst>
        </c:ser>
        <c:ser>
          <c:idx val="6"/>
          <c:order val="6"/>
          <c:tx>
            <c:strRef>
              <c:f>PresentAnalysis1.0!$H$4:$H$5</c:f>
              <c:strCache>
                <c:ptCount val="1"/>
                <c:pt idx="0">
                  <c:v>Santa Tell Me</c:v>
                </c:pt>
              </c:strCache>
            </c:strRef>
          </c:tx>
          <c:spPr>
            <a:solidFill>
              <a:schemeClr val="accent1">
                <a:lumMod val="60000"/>
              </a:schemeClr>
            </a:solidFill>
            <a:ln>
              <a:noFill/>
            </a:ln>
            <a:effectLst/>
            <a:sp3d/>
          </c:spPr>
          <c:invertIfNegative val="0"/>
          <c:cat>
            <c:strRef>
              <c:f>PresentAnalysis1.0!$A$6:$A$9</c:f>
              <c:strCache>
                <c:ptCount val="3"/>
                <c:pt idx="0">
                  <c:v>Jan</c:v>
                </c:pt>
                <c:pt idx="1">
                  <c:v>Nov</c:v>
                </c:pt>
                <c:pt idx="2">
                  <c:v>Dec</c:v>
                </c:pt>
              </c:strCache>
            </c:strRef>
          </c:cat>
          <c:val>
            <c:numRef>
              <c:f>PresentAnalysis1.0!$H$6:$H$9</c:f>
              <c:numCache>
                <c:formatCode>0</c:formatCode>
                <c:ptCount val="3"/>
                <c:pt idx="1">
                  <c:v>182060006</c:v>
                </c:pt>
                <c:pt idx="2">
                  <c:v>831428305</c:v>
                </c:pt>
              </c:numCache>
            </c:numRef>
          </c:val>
          <c:extLst>
            <c:ext xmlns:c16="http://schemas.microsoft.com/office/drawing/2014/chart" uri="{C3380CC4-5D6E-409C-BE32-E72D297353CC}">
              <c16:uniqueId val="{0000002E-858A-43D9-A5DA-D20217A6F7FE}"/>
            </c:ext>
          </c:extLst>
        </c:ser>
        <c:dLbls>
          <c:showLegendKey val="0"/>
          <c:showVal val="0"/>
          <c:showCatName val="0"/>
          <c:showSerName val="0"/>
          <c:showPercent val="0"/>
          <c:showBubbleSize val="0"/>
        </c:dLbls>
        <c:gapWidth val="150"/>
        <c:shape val="box"/>
        <c:axId val="2121413727"/>
        <c:axId val="2121406527"/>
        <c:axId val="0"/>
      </c:bar3DChart>
      <c:catAx>
        <c:axId val="212141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21406527"/>
        <c:crosses val="autoZero"/>
        <c:auto val="1"/>
        <c:lblAlgn val="ctr"/>
        <c:lblOffset val="100"/>
        <c:noMultiLvlLbl val="0"/>
      </c:catAx>
      <c:valAx>
        <c:axId val="2121406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214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45</c:v>
          </c:tx>
          <c:spPr>
            <a:solidFill>
              <a:schemeClr val="accent1"/>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0</c:v>
              </c:pt>
              <c:pt idx="1">
                <c:v>0</c:v>
              </c:pt>
              <c:pt idx="2">
                <c:v>0</c:v>
              </c:pt>
              <c:pt idx="3">
                <c:v>0</c:v>
              </c:pt>
              <c:pt idx="4">
                <c:v>8411130.2857142854</c:v>
              </c:pt>
              <c:pt idx="5">
                <c:v>0</c:v>
              </c:pt>
              <c:pt idx="6">
                <c:v>9382804.333333334</c:v>
              </c:pt>
            </c:numLit>
          </c:val>
          <c:extLst>
            <c:ext xmlns:c16="http://schemas.microsoft.com/office/drawing/2014/chart" uri="{C3380CC4-5D6E-409C-BE32-E72D297353CC}">
              <c16:uniqueId val="{00000000-6E44-42C5-9546-DE662DD90C7E}"/>
            </c:ext>
          </c:extLst>
        </c:ser>
        <c:ser>
          <c:idx val="1"/>
          <c:order val="1"/>
          <c:tx>
            <c:v>46</c:v>
          </c:tx>
          <c:spPr>
            <a:solidFill>
              <a:schemeClr val="accent2"/>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8647095.333333334</c:v>
              </c:pt>
              <c:pt idx="1">
                <c:v>8328064.5</c:v>
              </c:pt>
              <c:pt idx="2">
                <c:v>8862253.75</c:v>
              </c:pt>
              <c:pt idx="3">
                <c:v>0</c:v>
              </c:pt>
              <c:pt idx="4">
                <c:v>9828505.444444444</c:v>
              </c:pt>
              <c:pt idx="5">
                <c:v>0</c:v>
              </c:pt>
              <c:pt idx="6">
                <c:v>9139717.2857142854</c:v>
              </c:pt>
            </c:numLit>
          </c:val>
          <c:extLst>
            <c:ext xmlns:c16="http://schemas.microsoft.com/office/drawing/2014/chart" uri="{C3380CC4-5D6E-409C-BE32-E72D297353CC}">
              <c16:uniqueId val="{00000000-0806-42DB-8678-B472E4229FBE}"/>
            </c:ext>
          </c:extLst>
        </c:ser>
        <c:ser>
          <c:idx val="2"/>
          <c:order val="2"/>
          <c:tx>
            <c:v>47</c:v>
          </c:tx>
          <c:spPr>
            <a:solidFill>
              <a:schemeClr val="accent3"/>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8821358.125</c:v>
              </c:pt>
              <c:pt idx="1">
                <c:v>10635143.166666666</c:v>
              </c:pt>
              <c:pt idx="2">
                <c:v>10458698.714285715</c:v>
              </c:pt>
              <c:pt idx="3">
                <c:v>0</c:v>
              </c:pt>
              <c:pt idx="4">
                <c:v>14193908.666666666</c:v>
              </c:pt>
              <c:pt idx="5">
                <c:v>8551714.1428571437</c:v>
              </c:pt>
              <c:pt idx="6">
                <c:v>11474920.111111112</c:v>
              </c:pt>
            </c:numLit>
          </c:val>
          <c:extLst>
            <c:ext xmlns:c16="http://schemas.microsoft.com/office/drawing/2014/chart" uri="{C3380CC4-5D6E-409C-BE32-E72D297353CC}">
              <c16:uniqueId val="{00000001-0806-42DB-8678-B472E4229FBE}"/>
            </c:ext>
          </c:extLst>
        </c:ser>
        <c:ser>
          <c:idx val="3"/>
          <c:order val="3"/>
          <c:tx>
            <c:v>48</c:v>
          </c:tx>
          <c:spPr>
            <a:solidFill>
              <a:schemeClr val="accent4"/>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12755431.333333334</c:v>
              </c:pt>
              <c:pt idx="1">
                <c:v>14315947.75</c:v>
              </c:pt>
              <c:pt idx="2">
                <c:v>14516651.222222222</c:v>
              </c:pt>
              <c:pt idx="3">
                <c:v>10198193.166666666</c:v>
              </c:pt>
              <c:pt idx="4">
                <c:v>21774768.111111112</c:v>
              </c:pt>
              <c:pt idx="5">
                <c:v>11948581</c:v>
              </c:pt>
              <c:pt idx="6">
                <c:v>17922318.111111112</c:v>
              </c:pt>
            </c:numLit>
          </c:val>
          <c:extLst>
            <c:ext xmlns:c16="http://schemas.microsoft.com/office/drawing/2014/chart" uri="{C3380CC4-5D6E-409C-BE32-E72D297353CC}">
              <c16:uniqueId val="{00000002-0806-42DB-8678-B472E4229FBE}"/>
            </c:ext>
          </c:extLst>
        </c:ser>
        <c:ser>
          <c:idx val="4"/>
          <c:order val="4"/>
          <c:tx>
            <c:v>49</c:v>
          </c:tx>
          <c:spPr>
            <a:solidFill>
              <a:schemeClr val="accent5"/>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19478927.375</c:v>
              </c:pt>
              <c:pt idx="1">
                <c:v>21350191.428571429</c:v>
              </c:pt>
              <c:pt idx="2">
                <c:v>21354436.5</c:v>
              </c:pt>
              <c:pt idx="3">
                <c:v>12440576.375</c:v>
              </c:pt>
              <c:pt idx="4">
                <c:v>31843783.75</c:v>
              </c:pt>
              <c:pt idx="5">
                <c:v>18416527</c:v>
              </c:pt>
              <c:pt idx="6">
                <c:v>27001703.25</c:v>
              </c:pt>
            </c:numLit>
          </c:val>
          <c:extLst>
            <c:ext xmlns:c16="http://schemas.microsoft.com/office/drawing/2014/chart" uri="{C3380CC4-5D6E-409C-BE32-E72D297353CC}">
              <c16:uniqueId val="{00000003-0806-42DB-8678-B472E4229FBE}"/>
            </c:ext>
          </c:extLst>
        </c:ser>
        <c:ser>
          <c:idx val="5"/>
          <c:order val="5"/>
          <c:tx>
            <c:v>50</c:v>
          </c:tx>
          <c:spPr>
            <a:solidFill>
              <a:schemeClr val="accent6"/>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20968305.875</c:v>
              </c:pt>
              <c:pt idx="1">
                <c:v>23610462.714285713</c:v>
              </c:pt>
              <c:pt idx="2">
                <c:v>23733708.75</c:v>
              </c:pt>
              <c:pt idx="3">
                <c:v>14101647.375</c:v>
              </c:pt>
              <c:pt idx="4">
                <c:v>33916879.75</c:v>
              </c:pt>
              <c:pt idx="5">
                <c:v>19979154.375</c:v>
              </c:pt>
              <c:pt idx="6">
                <c:v>29457170.875</c:v>
              </c:pt>
            </c:numLit>
          </c:val>
          <c:extLst>
            <c:ext xmlns:c16="http://schemas.microsoft.com/office/drawing/2014/chart" uri="{C3380CC4-5D6E-409C-BE32-E72D297353CC}">
              <c16:uniqueId val="{00000004-0806-42DB-8678-B472E4229FBE}"/>
            </c:ext>
          </c:extLst>
        </c:ser>
        <c:ser>
          <c:idx val="6"/>
          <c:order val="6"/>
          <c:tx>
            <c:v>51</c:v>
          </c:tx>
          <c:spPr>
            <a:solidFill>
              <a:schemeClr val="accent1">
                <a:lumMod val="60000"/>
              </a:schemeClr>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23845715.875</c:v>
              </c:pt>
              <c:pt idx="1">
                <c:v>24620911.375</c:v>
              </c:pt>
              <c:pt idx="2">
                <c:v>27587219</c:v>
              </c:pt>
              <c:pt idx="3">
                <c:v>16909680.5</c:v>
              </c:pt>
              <c:pt idx="4">
                <c:v>38060597.125</c:v>
              </c:pt>
              <c:pt idx="5">
                <c:v>22504446.875</c:v>
              </c:pt>
              <c:pt idx="6">
                <c:v>33420413.375</c:v>
              </c:pt>
            </c:numLit>
          </c:val>
          <c:extLst>
            <c:ext xmlns:c16="http://schemas.microsoft.com/office/drawing/2014/chart" uri="{C3380CC4-5D6E-409C-BE32-E72D297353CC}">
              <c16:uniqueId val="{00000005-0806-42DB-8678-B472E4229FBE}"/>
            </c:ext>
          </c:extLst>
        </c:ser>
        <c:ser>
          <c:idx val="7"/>
          <c:order val="7"/>
          <c:tx>
            <c:v>52</c:v>
          </c:tx>
          <c:spPr>
            <a:solidFill>
              <a:schemeClr val="accent2">
                <a:lumMod val="60000"/>
              </a:schemeClr>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33897011.625</c:v>
              </c:pt>
              <c:pt idx="1">
                <c:v>36127009</c:v>
              </c:pt>
              <c:pt idx="2">
                <c:v>39627895</c:v>
              </c:pt>
              <c:pt idx="3">
                <c:v>26553280.5</c:v>
              </c:pt>
              <c:pt idx="4">
                <c:v>53887748.375</c:v>
              </c:pt>
              <c:pt idx="5">
                <c:v>32190530.5</c:v>
              </c:pt>
              <c:pt idx="6">
                <c:v>48561697.5</c:v>
              </c:pt>
            </c:numLit>
          </c:val>
          <c:extLst>
            <c:ext xmlns:c16="http://schemas.microsoft.com/office/drawing/2014/chart" uri="{C3380CC4-5D6E-409C-BE32-E72D297353CC}">
              <c16:uniqueId val="{00000006-0806-42DB-8678-B472E4229FBE}"/>
            </c:ext>
          </c:extLst>
        </c:ser>
        <c:ser>
          <c:idx val="8"/>
          <c:order val="8"/>
          <c:tx>
            <c:v>53</c:v>
          </c:tx>
          <c:spPr>
            <a:solidFill>
              <a:schemeClr val="accent3">
                <a:lumMod val="60000"/>
              </a:schemeClr>
            </a:solidFill>
            <a:ln>
              <a:noFill/>
            </a:ln>
            <a:effectLst/>
          </c:spPr>
          <c:invertIfNegative val="0"/>
          <c:cat>
            <c:strLit>
              <c:ptCount val="7"/>
              <c:pt idx="0">
                <c:v>Ariana Grande</c:v>
              </c:pt>
              <c:pt idx="1">
                <c:v>Bobby Helms</c:v>
              </c:pt>
              <c:pt idx="2">
                <c:v>Brenda Lee</c:v>
              </c:pt>
              <c:pt idx="3">
                <c:v>JosÃ© Feliciano</c:v>
              </c:pt>
              <c:pt idx="4">
                <c:v>Mariah Carey</c:v>
              </c:pt>
              <c:pt idx="5">
                <c:v>Michael BublÃ©</c:v>
              </c:pt>
              <c:pt idx="6">
                <c:v>Wham!</c:v>
              </c:pt>
            </c:strLit>
          </c:cat>
          <c:val>
            <c:numLit>
              <c:formatCode>General</c:formatCode>
              <c:ptCount val="7"/>
              <c:pt idx="0">
                <c:v>16657592</c:v>
              </c:pt>
              <c:pt idx="1">
                <c:v>16527404</c:v>
              </c:pt>
              <c:pt idx="2">
                <c:v>16613649</c:v>
              </c:pt>
              <c:pt idx="3">
                <c:v>11664490</c:v>
              </c:pt>
              <c:pt idx="4">
                <c:v>23235257</c:v>
              </c:pt>
              <c:pt idx="5">
                <c:v>15424001</c:v>
              </c:pt>
              <c:pt idx="6">
                <c:v>20709328</c:v>
              </c:pt>
            </c:numLit>
          </c:val>
          <c:extLst>
            <c:ext xmlns:c16="http://schemas.microsoft.com/office/drawing/2014/chart" uri="{C3380CC4-5D6E-409C-BE32-E72D297353CC}">
              <c16:uniqueId val="{00000007-0806-42DB-8678-B472E4229FBE}"/>
            </c:ext>
          </c:extLst>
        </c:ser>
        <c:dLbls>
          <c:showLegendKey val="0"/>
          <c:showVal val="0"/>
          <c:showCatName val="0"/>
          <c:showSerName val="0"/>
          <c:showPercent val="0"/>
          <c:showBubbleSize val="0"/>
        </c:dLbls>
        <c:gapWidth val="219"/>
        <c:overlap val="-27"/>
        <c:axId val="839701407"/>
        <c:axId val="839693247"/>
      </c:barChart>
      <c:catAx>
        <c:axId val="83970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9693247"/>
        <c:crosses val="autoZero"/>
        <c:auto val="1"/>
        <c:lblAlgn val="ctr"/>
        <c:lblOffset val="100"/>
        <c:noMultiLvlLbl val="0"/>
      </c:catAx>
      <c:valAx>
        <c:axId val="83969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970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Artist vs total</a:t>
            </a:r>
            <a:r>
              <a:rPr lang="en-GB" baseline="0"/>
              <a:t> streams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PresentAnalysis1.0!$B$30:$B$31</c:f>
              <c:strCache>
                <c:ptCount val="1"/>
                <c:pt idx="0">
                  <c:v>Mariah Carey</c:v>
                </c:pt>
              </c:strCache>
            </c:strRef>
          </c:tx>
          <c:spPr>
            <a:ln w="28575" cap="rnd">
              <a:solidFill>
                <a:schemeClr val="accent1"/>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PresentAnalysis1.0!$B$32:$B$41</c:f>
              <c:numCache>
                <c:formatCode>General</c:formatCode>
                <c:ptCount val="9"/>
                <c:pt idx="0">
                  <c:v>113885078</c:v>
                </c:pt>
                <c:pt idx="1">
                  <c:v>143762983</c:v>
                </c:pt>
                <c:pt idx="2">
                  <c:v>151935700</c:v>
                </c:pt>
                <c:pt idx="3">
                  <c:v>216648507</c:v>
                </c:pt>
                <c:pt idx="4">
                  <c:v>195881183</c:v>
                </c:pt>
                <c:pt idx="5">
                  <c:v>252046081</c:v>
                </c:pt>
                <c:pt idx="6">
                  <c:v>306637387</c:v>
                </c:pt>
                <c:pt idx="7">
                  <c:v>312127332</c:v>
                </c:pt>
                <c:pt idx="8">
                  <c:v>79477271</c:v>
                </c:pt>
              </c:numCache>
            </c:numRef>
          </c:val>
          <c:smooth val="0"/>
          <c:extLst>
            <c:ext xmlns:c16="http://schemas.microsoft.com/office/drawing/2014/chart" uri="{C3380CC4-5D6E-409C-BE32-E72D297353CC}">
              <c16:uniqueId val="{0000001B-253B-4F3F-821A-C2FDCAB28CBC}"/>
            </c:ext>
          </c:extLst>
        </c:ser>
        <c:ser>
          <c:idx val="1"/>
          <c:order val="1"/>
          <c:tx>
            <c:strRef>
              <c:f>PresentAnalysis1.0!$C$30:$C$31</c:f>
              <c:strCache>
                <c:ptCount val="1"/>
                <c:pt idx="0">
                  <c:v>Wham!</c:v>
                </c:pt>
              </c:strCache>
            </c:strRef>
          </c:tx>
          <c:spPr>
            <a:ln w="28575" cap="rnd">
              <a:solidFill>
                <a:schemeClr val="accent2"/>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PresentAnalysis1.0!$C$32:$C$41</c:f>
              <c:numCache>
                <c:formatCode>General</c:formatCode>
                <c:ptCount val="9"/>
                <c:pt idx="0">
                  <c:v>77521681</c:v>
                </c:pt>
                <c:pt idx="1">
                  <c:v>103362271</c:v>
                </c:pt>
                <c:pt idx="2">
                  <c:v>116847808</c:v>
                </c:pt>
                <c:pt idx="3">
                  <c:v>177812370</c:v>
                </c:pt>
                <c:pt idx="4">
                  <c:v>157501660</c:v>
                </c:pt>
                <c:pt idx="5">
                  <c:v>208529876</c:v>
                </c:pt>
                <c:pt idx="6">
                  <c:v>280387751</c:v>
                </c:pt>
                <c:pt idx="7">
                  <c:v>310097292</c:v>
                </c:pt>
                <c:pt idx="8">
                  <c:v>72357562</c:v>
                </c:pt>
              </c:numCache>
            </c:numRef>
          </c:val>
          <c:smooth val="0"/>
          <c:extLst>
            <c:ext xmlns:c16="http://schemas.microsoft.com/office/drawing/2014/chart" uri="{C3380CC4-5D6E-409C-BE32-E72D297353CC}">
              <c16:uniqueId val="{0000001C-253B-4F3F-821A-C2FDCAB28CBC}"/>
            </c:ext>
          </c:extLst>
        </c:ser>
        <c:ser>
          <c:idx val="2"/>
          <c:order val="2"/>
          <c:tx>
            <c:strRef>
              <c:f>PresentAnalysis1.0!$D$30:$D$31</c:f>
              <c:strCache>
                <c:ptCount val="1"/>
                <c:pt idx="0">
                  <c:v>Brenda Lee</c:v>
                </c:pt>
              </c:strCache>
            </c:strRef>
          </c:tx>
          <c:spPr>
            <a:ln w="28575" cap="rnd">
              <a:solidFill>
                <a:schemeClr val="accent3"/>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PresentAnalysis1.0!$D$32:$D$41</c:f>
              <c:numCache>
                <c:formatCode>General</c:formatCode>
                <c:ptCount val="9"/>
                <c:pt idx="0">
                  <c:v>39876371</c:v>
                </c:pt>
                <c:pt idx="1">
                  <c:v>72762503</c:v>
                </c:pt>
                <c:pt idx="2">
                  <c:v>67979819</c:v>
                </c:pt>
                <c:pt idx="3">
                  <c:v>132228451</c:v>
                </c:pt>
                <c:pt idx="4">
                  <c:v>121434499</c:v>
                </c:pt>
                <c:pt idx="5">
                  <c:v>193908916</c:v>
                </c:pt>
                <c:pt idx="6">
                  <c:v>234443913</c:v>
                </c:pt>
                <c:pt idx="7">
                  <c:v>249653195</c:v>
                </c:pt>
                <c:pt idx="8">
                  <c:v>50595341</c:v>
                </c:pt>
              </c:numCache>
            </c:numRef>
          </c:val>
          <c:smooth val="0"/>
          <c:extLst>
            <c:ext xmlns:c16="http://schemas.microsoft.com/office/drawing/2014/chart" uri="{C3380CC4-5D6E-409C-BE32-E72D297353CC}">
              <c16:uniqueId val="{0000001D-253B-4F3F-821A-C2FDCAB28CBC}"/>
            </c:ext>
          </c:extLst>
        </c:ser>
        <c:ser>
          <c:idx val="3"/>
          <c:order val="3"/>
          <c:tx>
            <c:strRef>
              <c:f>PresentAnalysis1.0!$E$30:$E$31</c:f>
              <c:strCache>
                <c:ptCount val="1"/>
                <c:pt idx="0">
                  <c:v>Bobby Helms</c:v>
                </c:pt>
              </c:strCache>
            </c:strRef>
          </c:tx>
          <c:spPr>
            <a:ln w="28575" cap="rnd">
              <a:solidFill>
                <a:schemeClr val="accent4"/>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PresentAnalysis1.0!$E$32:$E$41</c:f>
              <c:numCache>
                <c:formatCode>General</c:formatCode>
                <c:ptCount val="9"/>
                <c:pt idx="0">
                  <c:v>16251595</c:v>
                </c:pt>
                <c:pt idx="1">
                  <c:v>69704599</c:v>
                </c:pt>
                <c:pt idx="2">
                  <c:v>67909290</c:v>
                </c:pt>
                <c:pt idx="3">
                  <c:v>127475378</c:v>
                </c:pt>
                <c:pt idx="4">
                  <c:v>120257604</c:v>
                </c:pt>
                <c:pt idx="5">
                  <c:v>172205826</c:v>
                </c:pt>
                <c:pt idx="6">
                  <c:v>195129912</c:v>
                </c:pt>
                <c:pt idx="7">
                  <c:v>221784411</c:v>
                </c:pt>
                <c:pt idx="8">
                  <c:v>38167430</c:v>
                </c:pt>
              </c:numCache>
            </c:numRef>
          </c:val>
          <c:smooth val="0"/>
          <c:extLst>
            <c:ext xmlns:c16="http://schemas.microsoft.com/office/drawing/2014/chart" uri="{C3380CC4-5D6E-409C-BE32-E72D297353CC}">
              <c16:uniqueId val="{00000022-253B-4F3F-821A-C2FDCAB28CBC}"/>
            </c:ext>
          </c:extLst>
        </c:ser>
        <c:ser>
          <c:idx val="4"/>
          <c:order val="4"/>
          <c:tx>
            <c:strRef>
              <c:f>PresentAnalysis1.0!$F$30:$F$31</c:f>
              <c:strCache>
                <c:ptCount val="1"/>
                <c:pt idx="0">
                  <c:v>Ariana Grande</c:v>
                </c:pt>
              </c:strCache>
            </c:strRef>
          </c:tx>
          <c:spPr>
            <a:ln w="28575" cap="rnd">
              <a:solidFill>
                <a:schemeClr val="accent5"/>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PresentAnalysis1.0!$F$32:$F$41</c:f>
              <c:numCache>
                <c:formatCode>General</c:formatCode>
                <c:ptCount val="9"/>
                <c:pt idx="0">
                  <c:v>41023501</c:v>
                </c:pt>
                <c:pt idx="1">
                  <c:v>90474022</c:v>
                </c:pt>
                <c:pt idx="2">
                  <c:v>86497197</c:v>
                </c:pt>
                <c:pt idx="3">
                  <c:v>141074344</c:v>
                </c:pt>
                <c:pt idx="4">
                  <c:v>107673665</c:v>
                </c:pt>
                <c:pt idx="5">
                  <c:v>135524605</c:v>
                </c:pt>
                <c:pt idx="6">
                  <c:v>178472753</c:v>
                </c:pt>
                <c:pt idx="7">
                  <c:v>195175602</c:v>
                </c:pt>
                <c:pt idx="8">
                  <c:v>37572622</c:v>
                </c:pt>
              </c:numCache>
            </c:numRef>
          </c:val>
          <c:smooth val="0"/>
          <c:extLst>
            <c:ext xmlns:c16="http://schemas.microsoft.com/office/drawing/2014/chart" uri="{C3380CC4-5D6E-409C-BE32-E72D297353CC}">
              <c16:uniqueId val="{00000023-253B-4F3F-821A-C2FDCAB28CBC}"/>
            </c:ext>
          </c:extLst>
        </c:ser>
        <c:ser>
          <c:idx val="5"/>
          <c:order val="5"/>
          <c:tx>
            <c:strRef>
              <c:f>PresentAnalysis1.0!$G$30:$G$31</c:f>
              <c:strCache>
                <c:ptCount val="1"/>
                <c:pt idx="0">
                  <c:v>Michael BublÃ©</c:v>
                </c:pt>
              </c:strCache>
            </c:strRef>
          </c:tx>
          <c:spPr>
            <a:ln w="28575" cap="rnd">
              <a:solidFill>
                <a:schemeClr val="accent6"/>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PresentAnalysis1.0!$G$32:$G$41</c:f>
              <c:numCache>
                <c:formatCode>General</c:formatCode>
                <c:ptCount val="9"/>
                <c:pt idx="0">
                  <c:v>45359923</c:v>
                </c:pt>
                <c:pt idx="1">
                  <c:v>78724826</c:v>
                </c:pt>
                <c:pt idx="2">
                  <c:v>72808277</c:v>
                </c:pt>
                <c:pt idx="3">
                  <c:v>131811803</c:v>
                </c:pt>
                <c:pt idx="4">
                  <c:v>118260877</c:v>
                </c:pt>
                <c:pt idx="5">
                  <c:v>152308677</c:v>
                </c:pt>
                <c:pt idx="6">
                  <c:v>161195375</c:v>
                </c:pt>
                <c:pt idx="7">
                  <c:v>144672493</c:v>
                </c:pt>
                <c:pt idx="8">
                  <c:v>22406248</c:v>
                </c:pt>
              </c:numCache>
            </c:numRef>
          </c:val>
          <c:smooth val="0"/>
          <c:extLst>
            <c:ext xmlns:c16="http://schemas.microsoft.com/office/drawing/2014/chart" uri="{C3380CC4-5D6E-409C-BE32-E72D297353CC}">
              <c16:uniqueId val="{00000024-253B-4F3F-821A-C2FDCAB28CBC}"/>
            </c:ext>
          </c:extLst>
        </c:ser>
        <c:ser>
          <c:idx val="6"/>
          <c:order val="6"/>
          <c:tx>
            <c:strRef>
              <c:f>PresentAnalysis1.0!$H$30:$H$31</c:f>
              <c:strCache>
                <c:ptCount val="1"/>
                <c:pt idx="0">
                  <c:v>JosÃ© Feliciano</c:v>
                </c:pt>
              </c:strCache>
            </c:strRef>
          </c:tx>
          <c:spPr>
            <a:ln w="28575" cap="rnd">
              <a:solidFill>
                <a:schemeClr val="accent1">
                  <a:lumMod val="60000"/>
                </a:schemeClr>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PresentAnalysis1.0!$H$32:$H$41</c:f>
              <c:numCache>
                <c:formatCode>General</c:formatCode>
                <c:ptCount val="9"/>
                <c:pt idx="0">
                  <c:v>25543547</c:v>
                </c:pt>
                <c:pt idx="1">
                  <c:v>36691887</c:v>
                </c:pt>
                <c:pt idx="2">
                  <c:v>46795076</c:v>
                </c:pt>
                <c:pt idx="3">
                  <c:v>80509419</c:v>
                </c:pt>
                <c:pt idx="4">
                  <c:v>80259967</c:v>
                </c:pt>
                <c:pt idx="5">
                  <c:v>108289313</c:v>
                </c:pt>
                <c:pt idx="6">
                  <c:v>117952333</c:v>
                </c:pt>
                <c:pt idx="7">
                  <c:v>126984207</c:v>
                </c:pt>
                <c:pt idx="8">
                  <c:v>9869378</c:v>
                </c:pt>
              </c:numCache>
            </c:numRef>
          </c:val>
          <c:smooth val="0"/>
          <c:extLst>
            <c:ext xmlns:c16="http://schemas.microsoft.com/office/drawing/2014/chart" uri="{C3380CC4-5D6E-409C-BE32-E72D297353CC}">
              <c16:uniqueId val="{00000025-253B-4F3F-821A-C2FDCAB28CBC}"/>
            </c:ext>
          </c:extLst>
        </c:ser>
        <c:dLbls>
          <c:showLegendKey val="0"/>
          <c:showVal val="0"/>
          <c:showCatName val="0"/>
          <c:showSerName val="0"/>
          <c:showPercent val="0"/>
          <c:showBubbleSize val="0"/>
        </c:dLbls>
        <c:smooth val="0"/>
        <c:axId val="1726356528"/>
        <c:axId val="1726363728"/>
      </c:lineChart>
      <c:catAx>
        <c:axId val="17263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363728"/>
        <c:crosses val="autoZero"/>
        <c:auto val="1"/>
        <c:lblAlgn val="ctr"/>
        <c:lblOffset val="100"/>
        <c:noMultiLvlLbl val="0"/>
      </c:catAx>
      <c:valAx>
        <c:axId val="17263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3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Christmas</a:t>
            </a:r>
            <a:r>
              <a:rPr lang="en-US" baseline="0"/>
              <a:t> songs streams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PresentAnalysis1.0!$B$15</c:f>
              <c:strCache>
                <c:ptCount val="1"/>
                <c:pt idx="0">
                  <c:v>Total</c:v>
                </c:pt>
              </c:strCache>
            </c:strRef>
          </c:tx>
          <c:spPr>
            <a:solidFill>
              <a:schemeClr val="accent1"/>
            </a:solidFill>
            <a:ln>
              <a:noFill/>
            </a:ln>
            <a:effectLst/>
          </c:spPr>
          <c:invertIfNegative val="0"/>
          <c:cat>
            <c:strRef>
              <c:f>PresentAnalysis1.0!$A$16:$A$23</c:f>
              <c:strCache>
                <c:ptCount val="7"/>
                <c:pt idx="0">
                  <c:v>All I Want for Christmas Is You</c:v>
                </c:pt>
                <c:pt idx="1">
                  <c:v>Last Christmas</c:v>
                </c:pt>
                <c:pt idx="2">
                  <c:v>Rockin' Around the Christmas Tree</c:v>
                </c:pt>
                <c:pt idx="3">
                  <c:v>Jingle Bell Rock</c:v>
                </c:pt>
                <c:pt idx="4">
                  <c:v>Santa Tell Me</c:v>
                </c:pt>
                <c:pt idx="5">
                  <c:v>It's Beginning to Look a Lot Like Christmas</c:v>
                </c:pt>
                <c:pt idx="6">
                  <c:v>Feliz Navidad</c:v>
                </c:pt>
              </c:strCache>
            </c:strRef>
          </c:cat>
          <c:val>
            <c:numRef>
              <c:f>PresentAnalysis1.0!$B$16:$B$23</c:f>
              <c:numCache>
                <c:formatCode>General</c:formatCode>
                <c:ptCount val="7"/>
                <c:pt idx="0">
                  <c:v>1772401522</c:v>
                </c:pt>
                <c:pt idx="1">
                  <c:v>1504418271</c:v>
                </c:pt>
                <c:pt idx="2">
                  <c:v>1162883008</c:v>
                </c:pt>
                <c:pt idx="3">
                  <c:v>1028886045</c:v>
                </c:pt>
                <c:pt idx="4">
                  <c:v>1013488311</c:v>
                </c:pt>
                <c:pt idx="5">
                  <c:v>927548499</c:v>
                </c:pt>
                <c:pt idx="6">
                  <c:v>632895127</c:v>
                </c:pt>
              </c:numCache>
            </c:numRef>
          </c:val>
          <c:extLst>
            <c:ext xmlns:c16="http://schemas.microsoft.com/office/drawing/2014/chart" uri="{C3380CC4-5D6E-409C-BE32-E72D297353CC}">
              <c16:uniqueId val="{00000000-1482-4319-B047-7D7074F0F970}"/>
            </c:ext>
          </c:extLst>
        </c:ser>
        <c:dLbls>
          <c:showLegendKey val="0"/>
          <c:showVal val="0"/>
          <c:showCatName val="0"/>
          <c:showSerName val="0"/>
          <c:showPercent val="0"/>
          <c:showBubbleSize val="0"/>
        </c:dLbls>
        <c:gapWidth val="182"/>
        <c:axId val="1889272384"/>
        <c:axId val="1889273824"/>
      </c:barChart>
      <c:catAx>
        <c:axId val="188927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9273824"/>
        <c:crosses val="autoZero"/>
        <c:auto val="1"/>
        <c:lblAlgn val="ctr"/>
        <c:lblOffset val="100"/>
        <c:noMultiLvlLbl val="0"/>
      </c:catAx>
      <c:valAx>
        <c:axId val="188927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92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christmas streams vs weeks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PresentAnalysis1.0!$B$45</c:f>
              <c:strCache>
                <c:ptCount val="1"/>
                <c:pt idx="0">
                  <c:v>Total</c:v>
                </c:pt>
              </c:strCache>
            </c:strRef>
          </c:tx>
          <c:spPr>
            <a:solidFill>
              <a:schemeClr val="accent1"/>
            </a:solidFill>
            <a:ln>
              <a:noFill/>
            </a:ln>
            <a:effectLst/>
          </c:spPr>
          <c:invertIfNegative val="0"/>
          <c:cat>
            <c:strRef>
              <c:f>PresentAnalysis1.0!$A$46:$A$56</c:f>
              <c:strCache>
                <c:ptCount val="10"/>
                <c:pt idx="0">
                  <c:v>45</c:v>
                </c:pt>
                <c:pt idx="1">
                  <c:v>46</c:v>
                </c:pt>
                <c:pt idx="2">
                  <c:v>47</c:v>
                </c:pt>
                <c:pt idx="3">
                  <c:v>48</c:v>
                </c:pt>
                <c:pt idx="4">
                  <c:v>49</c:v>
                </c:pt>
                <c:pt idx="5">
                  <c:v>50</c:v>
                </c:pt>
                <c:pt idx="6">
                  <c:v>51</c:v>
                </c:pt>
                <c:pt idx="7">
                  <c:v>52</c:v>
                </c:pt>
                <c:pt idx="8">
                  <c:v>53</c:v>
                </c:pt>
                <c:pt idx="9">
                  <c:v>54</c:v>
                </c:pt>
              </c:strCache>
            </c:strRef>
          </c:cat>
          <c:val>
            <c:numRef>
              <c:f>PresentAnalysis1.0!$B$46:$B$56</c:f>
              <c:numCache>
                <c:formatCode>General</c:formatCode>
                <c:ptCount val="10"/>
                <c:pt idx="0">
                  <c:v>87026325</c:v>
                </c:pt>
                <c:pt idx="1">
                  <c:v>247137129</c:v>
                </c:pt>
                <c:pt idx="2">
                  <c:v>498474073</c:v>
                </c:pt>
                <c:pt idx="3">
                  <c:v>885976489</c:v>
                </c:pt>
                <c:pt idx="4">
                  <c:v>1193738974</c:v>
                </c:pt>
                <c:pt idx="5">
                  <c:v>1302528175</c:v>
                </c:pt>
                <c:pt idx="6">
                  <c:v>1495591873</c:v>
                </c:pt>
                <c:pt idx="7">
                  <c:v>2166761380</c:v>
                </c:pt>
                <c:pt idx="8">
                  <c:v>120831721</c:v>
                </c:pt>
                <c:pt idx="9">
                  <c:v>44454644</c:v>
                </c:pt>
              </c:numCache>
            </c:numRef>
          </c:val>
          <c:extLst>
            <c:ext xmlns:c16="http://schemas.microsoft.com/office/drawing/2014/chart" uri="{C3380CC4-5D6E-409C-BE32-E72D297353CC}">
              <c16:uniqueId val="{00000000-685F-41EB-8B60-772CF1E73F69}"/>
            </c:ext>
          </c:extLst>
        </c:ser>
        <c:dLbls>
          <c:showLegendKey val="0"/>
          <c:showVal val="0"/>
          <c:showCatName val="0"/>
          <c:showSerName val="0"/>
          <c:showPercent val="0"/>
          <c:showBubbleSize val="0"/>
        </c:dLbls>
        <c:gapWidth val="219"/>
        <c:axId val="1726564992"/>
        <c:axId val="1726577952"/>
      </c:barChart>
      <c:catAx>
        <c:axId val="17265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577952"/>
        <c:crosses val="autoZero"/>
        <c:auto val="1"/>
        <c:lblAlgn val="ctr"/>
        <c:lblOffset val="100"/>
        <c:noMultiLvlLbl val="0"/>
      </c:catAx>
      <c:valAx>
        <c:axId val="172657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5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of streams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PresentAnalysis1.0!$B$61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PresentAnalysis1.0!$A$62:$A$72</c:f>
              <c:strCache>
                <c:ptCount val="10"/>
                <c:pt idx="0">
                  <c:v>45</c:v>
                </c:pt>
                <c:pt idx="1">
                  <c:v>46</c:v>
                </c:pt>
                <c:pt idx="2">
                  <c:v>47</c:v>
                </c:pt>
                <c:pt idx="3">
                  <c:v>48</c:v>
                </c:pt>
                <c:pt idx="4">
                  <c:v>49</c:v>
                </c:pt>
                <c:pt idx="5">
                  <c:v>50</c:v>
                </c:pt>
                <c:pt idx="6">
                  <c:v>51</c:v>
                </c:pt>
                <c:pt idx="7">
                  <c:v>52</c:v>
                </c:pt>
                <c:pt idx="8">
                  <c:v>53</c:v>
                </c:pt>
                <c:pt idx="9">
                  <c:v>54</c:v>
                </c:pt>
              </c:strCache>
            </c:strRef>
          </c:cat>
          <c:val>
            <c:numRef>
              <c:f>PresentAnalysis1.0!$B$62:$B$72</c:f>
              <c:numCache>
                <c:formatCode>0.00%</c:formatCode>
                <c:ptCount val="10"/>
                <c:pt idx="1">
                  <c:v>1.8397973716573692</c:v>
                </c:pt>
                <c:pt idx="2">
                  <c:v>1.0169938649728345</c:v>
                </c:pt>
                <c:pt idx="3">
                  <c:v>0.77737727394299205</c:v>
                </c:pt>
                <c:pt idx="4">
                  <c:v>0.34737093909497635</c:v>
                </c:pt>
                <c:pt idx="5">
                  <c:v>9.1133156719736957E-2</c:v>
                </c:pt>
                <c:pt idx="6">
                  <c:v>0.14822228164085588</c:v>
                </c:pt>
                <c:pt idx="7">
                  <c:v>0.44876514717461291</c:v>
                </c:pt>
                <c:pt idx="8">
                  <c:v>-0.94423395113309616</c:v>
                </c:pt>
                <c:pt idx="9">
                  <c:v>-0.63209458880420977</c:v>
                </c:pt>
              </c:numCache>
            </c:numRef>
          </c:val>
          <c:smooth val="0"/>
          <c:extLst>
            <c:ext xmlns:c16="http://schemas.microsoft.com/office/drawing/2014/chart" uri="{C3380CC4-5D6E-409C-BE32-E72D297353CC}">
              <c16:uniqueId val="{00000000-E6FA-4C14-A04C-D91F2D5A8D48}"/>
            </c:ext>
          </c:extLst>
        </c:ser>
        <c:dLbls>
          <c:showLegendKey val="0"/>
          <c:showVal val="0"/>
          <c:showCatName val="0"/>
          <c:showSerName val="0"/>
          <c:showPercent val="0"/>
          <c:showBubbleSize val="0"/>
        </c:dLbls>
        <c:marker val="1"/>
        <c:smooth val="0"/>
        <c:axId val="1947759408"/>
        <c:axId val="1947759888"/>
      </c:lineChart>
      <c:catAx>
        <c:axId val="19477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7759888"/>
        <c:crosses val="autoZero"/>
        <c:auto val="1"/>
        <c:lblAlgn val="ctr"/>
        <c:lblOffset val="100"/>
        <c:noMultiLvlLbl val="0"/>
      </c:catAx>
      <c:valAx>
        <c:axId val="1947759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775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Growth</a:t>
            </a:r>
            <a:r>
              <a:rPr lang="en-GB" baseline="0"/>
              <a:t> of streams across each year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PresentAnalysis1.0!$B$79:$B$80</c:f>
              <c:strCache>
                <c:ptCount val="1"/>
                <c:pt idx="0">
                  <c:v>All I Want for Christmas Is You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PresentAnalysis1.0!$B$81:$B$90</c:f>
              <c:numCache>
                <c:formatCode>0.00%</c:formatCode>
                <c:ptCount val="9"/>
                <c:pt idx="1">
                  <c:v>0.26235135914821078</c:v>
                </c:pt>
                <c:pt idx="2">
                  <c:v>0.33411420238918393</c:v>
                </c:pt>
                <c:pt idx="3">
                  <c:v>0.90234322884689078</c:v>
                </c:pt>
                <c:pt idx="4">
                  <c:v>0.71998989191542728</c:v>
                </c:pt>
                <c:pt idx="5">
                  <c:v>1.213161596113584</c:v>
                </c:pt>
                <c:pt idx="6">
                  <c:v>1.6925159325965426</c:v>
                </c:pt>
                <c:pt idx="7">
                  <c:v>1.7407219407620724</c:v>
                </c:pt>
                <c:pt idx="8">
                  <c:v>-0.30212743938235703</c:v>
                </c:pt>
              </c:numCache>
            </c:numRef>
          </c:val>
          <c:smooth val="0"/>
          <c:extLst>
            <c:ext xmlns:c16="http://schemas.microsoft.com/office/drawing/2014/chart" uri="{C3380CC4-5D6E-409C-BE32-E72D297353CC}">
              <c16:uniqueId val="{00000000-1107-47DD-82B9-FBCDE6B71C6E}"/>
            </c:ext>
          </c:extLst>
        </c:ser>
        <c:ser>
          <c:idx val="1"/>
          <c:order val="1"/>
          <c:tx>
            <c:strRef>
              <c:f>PresentAnalysis1.0!$C$79:$C$80</c:f>
              <c:strCache>
                <c:ptCount val="1"/>
                <c:pt idx="0">
                  <c:v>Feliz Navidad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PresentAnalysis1.0!$C$81:$C$90</c:f>
              <c:numCache>
                <c:formatCode>0.00%</c:formatCode>
                <c:ptCount val="9"/>
                <c:pt idx="1">
                  <c:v>0.43644447656388519</c:v>
                </c:pt>
                <c:pt idx="2">
                  <c:v>0.83197251344928724</c:v>
                </c:pt>
                <c:pt idx="3">
                  <c:v>2.1518496237033955</c:v>
                </c:pt>
                <c:pt idx="4">
                  <c:v>2.1420838695581312</c:v>
                </c:pt>
                <c:pt idx="5">
                  <c:v>3.2393999940572074</c:v>
                </c:pt>
                <c:pt idx="6">
                  <c:v>3.6176959292301887</c:v>
                </c:pt>
                <c:pt idx="7">
                  <c:v>3.9712832364275799</c:v>
                </c:pt>
                <c:pt idx="8">
                  <c:v>-0.61362539039703456</c:v>
                </c:pt>
              </c:numCache>
            </c:numRef>
          </c:val>
          <c:smooth val="0"/>
          <c:extLst>
            <c:ext xmlns:c16="http://schemas.microsoft.com/office/drawing/2014/chart" uri="{C3380CC4-5D6E-409C-BE32-E72D297353CC}">
              <c16:uniqueId val="{00000032-1107-47DD-82B9-FBCDE6B71C6E}"/>
            </c:ext>
          </c:extLst>
        </c:ser>
        <c:ser>
          <c:idx val="2"/>
          <c:order val="2"/>
          <c:tx>
            <c:strRef>
              <c:f>PresentAnalysis1.0!$D$79:$D$80</c:f>
              <c:strCache>
                <c:ptCount val="1"/>
                <c:pt idx="0">
                  <c:v>It's Beginning to Look a Lot Like Christmas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PresentAnalysis1.0!$D$81:$D$90</c:f>
              <c:numCache>
                <c:formatCode>0.00%</c:formatCode>
                <c:ptCount val="9"/>
                <c:pt idx="1">
                  <c:v>0.73555907491289174</c:v>
                </c:pt>
                <c:pt idx="2">
                  <c:v>0.60512346989654286</c:v>
                </c:pt>
                <c:pt idx="3">
                  <c:v>1.9059088790781236</c:v>
                </c:pt>
                <c:pt idx="4">
                  <c:v>1.6071666171038252</c:v>
                </c:pt>
                <c:pt idx="5">
                  <c:v>2.3577807660740517</c:v>
                </c:pt>
                <c:pt idx="6">
                  <c:v>2.5536959575526614</c:v>
                </c:pt>
                <c:pt idx="7">
                  <c:v>2.1894342721878077</c:v>
                </c:pt>
                <c:pt idx="8">
                  <c:v>-0.50603425847967154</c:v>
                </c:pt>
              </c:numCache>
            </c:numRef>
          </c:val>
          <c:smooth val="0"/>
          <c:extLst>
            <c:ext xmlns:c16="http://schemas.microsoft.com/office/drawing/2014/chart" uri="{C3380CC4-5D6E-409C-BE32-E72D297353CC}">
              <c16:uniqueId val="{00000033-1107-47DD-82B9-FBCDE6B71C6E}"/>
            </c:ext>
          </c:extLst>
        </c:ser>
        <c:ser>
          <c:idx val="3"/>
          <c:order val="3"/>
          <c:tx>
            <c:strRef>
              <c:f>PresentAnalysis1.0!$E$79:$E$80</c:f>
              <c:strCache>
                <c:ptCount val="1"/>
                <c:pt idx="0">
                  <c:v>Jingle Bell Rock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PresentAnalysis1.0!$E$81:$E$90</c:f>
              <c:numCache>
                <c:formatCode>0.00%</c:formatCode>
                <c:ptCount val="9"/>
                <c:pt idx="1">
                  <c:v>3.289092793661176</c:v>
                </c:pt>
                <c:pt idx="2">
                  <c:v>3.1786230828420226</c:v>
                </c:pt>
                <c:pt idx="3">
                  <c:v>6.8438687402682632</c:v>
                </c:pt>
                <c:pt idx="4">
                  <c:v>6.3997416253604644</c:v>
                </c:pt>
                <c:pt idx="5">
                  <c:v>9.5962415381382566</c:v>
                </c:pt>
                <c:pt idx="6">
                  <c:v>11.006816069438107</c:v>
                </c:pt>
                <c:pt idx="7">
                  <c:v>12.64693194729502</c:v>
                </c:pt>
                <c:pt idx="8">
                  <c:v>1.3485344053922093</c:v>
                </c:pt>
              </c:numCache>
            </c:numRef>
          </c:val>
          <c:smooth val="0"/>
          <c:extLst>
            <c:ext xmlns:c16="http://schemas.microsoft.com/office/drawing/2014/chart" uri="{C3380CC4-5D6E-409C-BE32-E72D297353CC}">
              <c16:uniqueId val="{00000038-1107-47DD-82B9-FBCDE6B71C6E}"/>
            </c:ext>
          </c:extLst>
        </c:ser>
        <c:ser>
          <c:idx val="4"/>
          <c:order val="4"/>
          <c:tx>
            <c:strRef>
              <c:f>PresentAnalysis1.0!$F$79:$F$80</c:f>
              <c:strCache>
                <c:ptCount val="1"/>
                <c:pt idx="0">
                  <c:v>Last Christmas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PresentAnalysis1.0!$F$81:$F$90</c:f>
              <c:numCache>
                <c:formatCode>0.00%</c:formatCode>
                <c:ptCount val="9"/>
                <c:pt idx="1">
                  <c:v>0.33333371602197326</c:v>
                </c:pt>
                <c:pt idx="2">
                  <c:v>0.50729197938832105</c:v>
                </c:pt>
                <c:pt idx="3">
                  <c:v>1.2937114844039566</c:v>
                </c:pt>
                <c:pt idx="4">
                  <c:v>1.0317111028590826</c:v>
                </c:pt>
                <c:pt idx="5">
                  <c:v>1.6899555493385134</c:v>
                </c:pt>
                <c:pt idx="6">
                  <c:v>2.6168946207448727</c:v>
                </c:pt>
                <c:pt idx="7">
                  <c:v>3.000136323153261</c:v>
                </c:pt>
                <c:pt idx="8">
                  <c:v>-6.6615157635707106E-2</c:v>
                </c:pt>
              </c:numCache>
            </c:numRef>
          </c:val>
          <c:smooth val="0"/>
          <c:extLst>
            <c:ext xmlns:c16="http://schemas.microsoft.com/office/drawing/2014/chart" uri="{C3380CC4-5D6E-409C-BE32-E72D297353CC}">
              <c16:uniqueId val="{00000039-1107-47DD-82B9-FBCDE6B71C6E}"/>
            </c:ext>
          </c:extLst>
        </c:ser>
        <c:ser>
          <c:idx val="5"/>
          <c:order val="5"/>
          <c:tx>
            <c:strRef>
              <c:f>PresentAnalysis1.0!$G$79:$G$80</c:f>
              <c:strCache>
                <c:ptCount val="1"/>
                <c:pt idx="0">
                  <c:v>Rockin' Around the Christmas Tree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PresentAnalysis1.0!$G$81:$G$90</c:f>
              <c:numCache>
                <c:formatCode>0.00%</c:formatCode>
                <c:ptCount val="9"/>
                <c:pt idx="1">
                  <c:v>0.82470222779299551</c:v>
                </c:pt>
                <c:pt idx="2">
                  <c:v>0.70476443305234571</c:v>
                </c:pt>
                <c:pt idx="3">
                  <c:v>2.3159599954569585</c:v>
                </c:pt>
                <c:pt idx="4">
                  <c:v>2.0452745812802275</c:v>
                </c:pt>
                <c:pt idx="5">
                  <c:v>3.862752330195744</c:v>
                </c:pt>
                <c:pt idx="6">
                  <c:v>4.8792690287689418</c:v>
                </c:pt>
                <c:pt idx="7">
                  <c:v>5.2606799149300718</c:v>
                </c:pt>
                <c:pt idx="8">
                  <c:v>0.26880505249587533</c:v>
                </c:pt>
              </c:numCache>
            </c:numRef>
          </c:val>
          <c:smooth val="0"/>
          <c:extLst>
            <c:ext xmlns:c16="http://schemas.microsoft.com/office/drawing/2014/chart" uri="{C3380CC4-5D6E-409C-BE32-E72D297353CC}">
              <c16:uniqueId val="{0000003A-1107-47DD-82B9-FBCDE6B71C6E}"/>
            </c:ext>
          </c:extLst>
        </c:ser>
        <c:ser>
          <c:idx val="6"/>
          <c:order val="6"/>
          <c:tx>
            <c:strRef>
              <c:f>PresentAnalysis1.0!$H$79:$H$80</c:f>
              <c:strCache>
                <c:ptCount val="1"/>
                <c:pt idx="0">
                  <c:v>Santa Tell Me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PresentAnalysis1.0!$H$81:$H$90</c:f>
              <c:numCache>
                <c:formatCode>0.00%</c:formatCode>
                <c:ptCount val="9"/>
                <c:pt idx="1">
                  <c:v>1.2054193278140741</c:v>
                </c:pt>
                <c:pt idx="2">
                  <c:v>1.1084791617370735</c:v>
                </c:pt>
                <c:pt idx="3">
                  <c:v>2.4388665170239858</c:v>
                </c:pt>
                <c:pt idx="4">
                  <c:v>1.624682496016125</c:v>
                </c:pt>
                <c:pt idx="5">
                  <c:v>2.3035845721699864</c:v>
                </c:pt>
                <c:pt idx="6">
                  <c:v>3.350500290065443</c:v>
                </c:pt>
                <c:pt idx="7">
                  <c:v>3.7576534728228097</c:v>
                </c:pt>
                <c:pt idx="8">
                  <c:v>-8.4119563564309149E-2</c:v>
                </c:pt>
              </c:numCache>
            </c:numRef>
          </c:val>
          <c:smooth val="0"/>
          <c:extLst>
            <c:ext xmlns:c16="http://schemas.microsoft.com/office/drawing/2014/chart" uri="{C3380CC4-5D6E-409C-BE32-E72D297353CC}">
              <c16:uniqueId val="{0000003B-1107-47DD-82B9-FBCDE6B71C6E}"/>
            </c:ext>
          </c:extLst>
        </c:ser>
        <c:dLbls>
          <c:showLegendKey val="0"/>
          <c:showVal val="0"/>
          <c:showCatName val="0"/>
          <c:showSerName val="0"/>
          <c:showPercent val="0"/>
          <c:showBubbleSize val="0"/>
        </c:dLbls>
        <c:marker val="1"/>
        <c:smooth val="0"/>
        <c:axId val="1855937568"/>
        <c:axId val="1855938048"/>
      </c:lineChart>
      <c:catAx>
        <c:axId val="18559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8048"/>
        <c:crosses val="autoZero"/>
        <c:auto val="1"/>
        <c:lblAlgn val="ctr"/>
        <c:lblOffset val="100"/>
        <c:noMultiLvlLbl val="0"/>
      </c:catAx>
      <c:valAx>
        <c:axId val="185593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Streams vs Years (Classics Old Era)</a:t>
            </a:r>
          </a:p>
        </c:rich>
      </c:tx>
      <c:layout>
        <c:manualLayout>
          <c:xMode val="edge"/>
          <c:yMode val="edge"/>
          <c:x val="0.10716402081722712"/>
          <c:y val="2.77777777777777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lotArea>
      <c:layout/>
      <c:lineChart>
        <c:grouping val="standard"/>
        <c:varyColors val="0"/>
        <c:ser>
          <c:idx val="0"/>
          <c:order val="0"/>
          <c:tx>
            <c:strRef>
              <c:f>FutureAnalysis1.0!$B$75</c:f>
              <c:strCache>
                <c:ptCount val="1"/>
                <c:pt idx="0">
                  <c:v>Grand Total</c:v>
                </c:pt>
              </c:strCache>
            </c:strRef>
          </c:tx>
          <c:spPr>
            <a:ln w="34925" cap="rnd">
              <a:solidFill>
                <a:schemeClr val="lt1"/>
              </a:solidFill>
              <a:round/>
            </a:ln>
            <a:effectLst>
              <a:outerShdw dist="25400" dir="2700000" algn="tl" rotWithShape="0">
                <a:schemeClr val="accent1"/>
              </a:outerShdw>
            </a:effectLst>
          </c:spPr>
          <c:marker>
            <c:symbol val="none"/>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cat>
            <c:numRef>
              <c:f>FutureAnalysis1.0!$A$76:$A$83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FutureAnalysis1.0!$B$76:$B$83</c:f>
              <c:numCache>
                <c:formatCode>General</c:formatCode>
                <c:ptCount val="8"/>
                <c:pt idx="0">
                  <c:v>81671513</c:v>
                </c:pt>
                <c:pt idx="1">
                  <c:v>179158989</c:v>
                </c:pt>
                <c:pt idx="2">
                  <c:v>182684185</c:v>
                </c:pt>
                <c:pt idx="3">
                  <c:v>340213248</c:v>
                </c:pt>
                <c:pt idx="4">
                  <c:v>321952070</c:v>
                </c:pt>
                <c:pt idx="5">
                  <c:v>474404055</c:v>
                </c:pt>
                <c:pt idx="6">
                  <c:v>547526158</c:v>
                </c:pt>
                <c:pt idx="7">
                  <c:v>598421813</c:v>
                </c:pt>
              </c:numCache>
            </c:numRef>
          </c:val>
          <c:smooth val="0"/>
          <c:extLst>
            <c:ext xmlns:c16="http://schemas.microsoft.com/office/drawing/2014/chart" uri="{C3380CC4-5D6E-409C-BE32-E72D297353CC}">
              <c16:uniqueId val="{00000000-C87C-49D6-AAAE-2EAA253BCC8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81398464"/>
        <c:axId val="181382144"/>
      </c:lineChart>
      <c:catAx>
        <c:axId val="1813984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181382144"/>
        <c:crosses val="autoZero"/>
        <c:auto val="1"/>
        <c:lblAlgn val="ctr"/>
        <c:lblOffset val="100"/>
        <c:noMultiLvlLbl val="0"/>
      </c:catAx>
      <c:valAx>
        <c:axId val="18138214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Sum of streams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18139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Streams vs Years (80s and Modern Classics)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lotArea>
      <c:layout/>
      <c:lineChart>
        <c:grouping val="standard"/>
        <c:varyColors val="0"/>
        <c:ser>
          <c:idx val="0"/>
          <c:order val="0"/>
          <c:tx>
            <c:strRef>
              <c:f>FutureAnalysis1.0!$B$86</c:f>
              <c:strCache>
                <c:ptCount val="1"/>
                <c:pt idx="0">
                  <c:v>Grand Total</c:v>
                </c:pt>
              </c:strCache>
            </c:strRef>
          </c:tx>
          <c:spPr>
            <a:ln w="34925" cap="rnd">
              <a:solidFill>
                <a:schemeClr val="lt1"/>
              </a:solidFill>
              <a:round/>
            </a:ln>
            <a:effectLst>
              <a:outerShdw dist="25400" dir="2700000" algn="tl" rotWithShape="0">
                <a:schemeClr val="accent1"/>
              </a:outerShdw>
            </a:effectLst>
          </c:spPr>
          <c:marker>
            <c:symbol val="none"/>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cat>
            <c:numRef>
              <c:f>FutureAnalysis1.0!$A$87:$A$94</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FutureAnalysis1.0!$B$87:$B$94</c:f>
              <c:numCache>
                <c:formatCode>General</c:formatCode>
                <c:ptCount val="8"/>
                <c:pt idx="0">
                  <c:v>191406759</c:v>
                </c:pt>
                <c:pt idx="1">
                  <c:v>247125254</c:v>
                </c:pt>
                <c:pt idx="2">
                  <c:v>268783508</c:v>
                </c:pt>
                <c:pt idx="3">
                  <c:v>394460877</c:v>
                </c:pt>
                <c:pt idx="4">
                  <c:v>353382843</c:v>
                </c:pt>
                <c:pt idx="5">
                  <c:v>460575957</c:v>
                </c:pt>
                <c:pt idx="6">
                  <c:v>587025138</c:v>
                </c:pt>
                <c:pt idx="7">
                  <c:v>622224624</c:v>
                </c:pt>
              </c:numCache>
            </c:numRef>
          </c:val>
          <c:smooth val="0"/>
          <c:extLst>
            <c:ext xmlns:c16="http://schemas.microsoft.com/office/drawing/2014/chart" uri="{C3380CC4-5D6E-409C-BE32-E72D297353CC}">
              <c16:uniqueId val="{00000000-9E6A-4D8A-BE0F-028104DEB37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81438784"/>
        <c:axId val="181439264"/>
      </c:lineChart>
      <c:catAx>
        <c:axId val="181438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181439264"/>
        <c:crosses val="autoZero"/>
        <c:auto val="1"/>
        <c:lblAlgn val="ctr"/>
        <c:lblOffset val="100"/>
        <c:noMultiLvlLbl val="0"/>
      </c:catAx>
      <c:valAx>
        <c:axId val="1814392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Sum of streams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18143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Streams vs Years (21st century hits)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lotArea>
      <c:layout/>
      <c:lineChart>
        <c:grouping val="standard"/>
        <c:varyColors val="0"/>
        <c:ser>
          <c:idx val="0"/>
          <c:order val="0"/>
          <c:tx>
            <c:strRef>
              <c:f>FutureAnalysis1.0!$B$97</c:f>
              <c:strCache>
                <c:ptCount val="1"/>
                <c:pt idx="0">
                  <c:v>Grand Total</c:v>
                </c:pt>
              </c:strCache>
            </c:strRef>
          </c:tx>
          <c:spPr>
            <a:ln w="34925" cap="rnd">
              <a:solidFill>
                <a:schemeClr val="lt1"/>
              </a:solidFill>
              <a:round/>
            </a:ln>
            <a:effectLst>
              <a:outerShdw dist="25400" dir="2700000" algn="tl" rotWithShape="0">
                <a:schemeClr val="accent1"/>
              </a:outerShdw>
            </a:effectLst>
          </c:spPr>
          <c:marker>
            <c:symbol val="none"/>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cat>
            <c:numRef>
              <c:f>FutureAnalysis1.0!$A$98:$A$105</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FutureAnalysis1.0!$B$98:$B$105</c:f>
              <c:numCache>
                <c:formatCode>General</c:formatCode>
                <c:ptCount val="8"/>
                <c:pt idx="0">
                  <c:v>86383424</c:v>
                </c:pt>
                <c:pt idx="1">
                  <c:v>169198848</c:v>
                </c:pt>
                <c:pt idx="2">
                  <c:v>159305474</c:v>
                </c:pt>
                <c:pt idx="3">
                  <c:v>272886147</c:v>
                </c:pt>
                <c:pt idx="4">
                  <c:v>225934542</c:v>
                </c:pt>
                <c:pt idx="5">
                  <c:v>287833282</c:v>
                </c:pt>
                <c:pt idx="6">
                  <c:v>339668128</c:v>
                </c:pt>
                <c:pt idx="7">
                  <c:v>339848095</c:v>
                </c:pt>
              </c:numCache>
            </c:numRef>
          </c:val>
          <c:smooth val="0"/>
          <c:extLst>
            <c:ext xmlns:c16="http://schemas.microsoft.com/office/drawing/2014/chart" uri="{C3380CC4-5D6E-409C-BE32-E72D297353CC}">
              <c16:uniqueId val="{00000000-ABBB-48AF-AF97-BC856F0C3B6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261068464"/>
        <c:axId val="261070384"/>
      </c:lineChart>
      <c:catAx>
        <c:axId val="2610684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261070384"/>
        <c:crosses val="autoZero"/>
        <c:auto val="1"/>
        <c:lblAlgn val="ctr"/>
        <c:lblOffset val="100"/>
        <c:noMultiLvlLbl val="0"/>
      </c:catAx>
      <c:valAx>
        <c:axId val="2610703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Sum of streams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261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[spotify_christmas_streams_kworb_2017_2025.xlsx]FutureAnalysis1.0!PivotTable9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Streams</a:t>
            </a:r>
            <a:r>
              <a:rPr lang="en-US" baseline="0"/>
              <a:t> across each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FutureAnalysis1.0!$B$19</c:f>
              <c:strCache>
                <c:ptCount val="1"/>
                <c:pt idx="0">
                  <c:v>Total</c:v>
                </c:pt>
              </c:strCache>
            </c:strRef>
          </c:tx>
          <c:spPr>
            <a:solidFill>
              <a:schemeClr val="accent1"/>
            </a:solidFill>
            <a:ln>
              <a:noFill/>
            </a:ln>
            <a:effectLst/>
            <a:sp3d/>
          </c:spPr>
          <c:invertIfNegative val="0"/>
          <c:cat>
            <c:strRef>
              <c:f>FutureAnalysis1.0!$A$20:$A$29</c:f>
              <c:strCache>
                <c:ptCount val="9"/>
                <c:pt idx="0">
                  <c:v>2017</c:v>
                </c:pt>
                <c:pt idx="1">
                  <c:v>2018</c:v>
                </c:pt>
                <c:pt idx="2">
                  <c:v>2019</c:v>
                </c:pt>
                <c:pt idx="3">
                  <c:v>2020</c:v>
                </c:pt>
                <c:pt idx="4">
                  <c:v>2021</c:v>
                </c:pt>
                <c:pt idx="5">
                  <c:v>2022</c:v>
                </c:pt>
                <c:pt idx="6">
                  <c:v>2023</c:v>
                </c:pt>
                <c:pt idx="7">
                  <c:v>2024</c:v>
                </c:pt>
                <c:pt idx="8">
                  <c:v>2025</c:v>
                </c:pt>
              </c:strCache>
            </c:strRef>
          </c:cat>
          <c:val>
            <c:numRef>
              <c:f>FutureAnalysis1.0!$B$20:$B$29</c:f>
              <c:numCache>
                <c:formatCode>General</c:formatCode>
                <c:ptCount val="9"/>
                <c:pt idx="0">
                  <c:v>359461696</c:v>
                </c:pt>
                <c:pt idx="1">
                  <c:v>595483091</c:v>
                </c:pt>
                <c:pt idx="2">
                  <c:v>610773167</c:v>
                </c:pt>
                <c:pt idx="3">
                  <c:v>1007560272</c:v>
                </c:pt>
                <c:pt idx="4">
                  <c:v>901269455</c:v>
                </c:pt>
                <c:pt idx="5">
                  <c:v>1222813294</c:v>
                </c:pt>
                <c:pt idx="6">
                  <c:v>1474219424</c:v>
                </c:pt>
                <c:pt idx="7">
                  <c:v>1560494532</c:v>
                </c:pt>
                <c:pt idx="8">
                  <c:v>310445852</c:v>
                </c:pt>
              </c:numCache>
            </c:numRef>
          </c:val>
          <c:extLst>
            <c:ext xmlns:c16="http://schemas.microsoft.com/office/drawing/2014/chart" uri="{C3380CC4-5D6E-409C-BE32-E72D297353CC}">
              <c16:uniqueId val="{00000000-06AA-424A-A179-35382A1DADE5}"/>
            </c:ext>
          </c:extLst>
        </c:ser>
        <c:dLbls>
          <c:showLegendKey val="0"/>
          <c:showVal val="0"/>
          <c:showCatName val="0"/>
          <c:showSerName val="0"/>
          <c:showPercent val="0"/>
          <c:showBubbleSize val="0"/>
        </c:dLbls>
        <c:gapWidth val="150"/>
        <c:shape val="box"/>
        <c:axId val="1901101664"/>
        <c:axId val="1901105504"/>
        <c:axId val="110318640"/>
      </c:bar3DChart>
      <c:catAx>
        <c:axId val="19011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5504"/>
        <c:crosses val="autoZero"/>
        <c:auto val="1"/>
        <c:lblAlgn val="ctr"/>
        <c:lblOffset val="100"/>
        <c:noMultiLvlLbl val="0"/>
      </c:catAx>
      <c:valAx>
        <c:axId val="190110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1664"/>
        <c:crosses val="autoZero"/>
        <c:crossBetween val="between"/>
      </c:valAx>
      <c:serAx>
        <c:axId val="1103186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5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Forecast</a:t>
            </a:r>
            <a:r>
              <a:rPr lang="en-GB" baseline="0"/>
              <a:t> for each streams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FutureAnalysis1.0!$B$5</c:f>
              <c:strCache>
                <c:ptCount val="1"/>
                <c:pt idx="0">
                  <c:v>All I Want for Christmas Is You</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FutureAnalysis1.0!$B$6:$B$13</c:f>
              <c:numCache>
                <c:formatCode>0</c:formatCode>
                <c:ptCount val="8"/>
                <c:pt idx="0">
                  <c:v>113885078</c:v>
                </c:pt>
                <c:pt idx="1">
                  <c:v>143762983</c:v>
                </c:pt>
                <c:pt idx="2">
                  <c:v>151935700</c:v>
                </c:pt>
                <c:pt idx="3">
                  <c:v>216648507</c:v>
                </c:pt>
                <c:pt idx="4">
                  <c:v>195881183</c:v>
                </c:pt>
                <c:pt idx="5">
                  <c:v>252046081</c:v>
                </c:pt>
                <c:pt idx="6">
                  <c:v>306637387</c:v>
                </c:pt>
                <c:pt idx="7">
                  <c:v>312127332</c:v>
                </c:pt>
              </c:numCache>
            </c:numRef>
          </c:val>
          <c:smooth val="0"/>
          <c:extLst>
            <c:ext xmlns:c16="http://schemas.microsoft.com/office/drawing/2014/chart" uri="{C3380CC4-5D6E-409C-BE32-E72D297353CC}">
              <c16:uniqueId val="{00000000-5BBF-49F8-B597-9AF4A1DB33E6}"/>
            </c:ext>
          </c:extLst>
        </c:ser>
        <c:ser>
          <c:idx val="1"/>
          <c:order val="1"/>
          <c:tx>
            <c:strRef>
              <c:f>FutureAnalysis1.0!$C$5</c:f>
              <c:strCache>
                <c:ptCount val="1"/>
                <c:pt idx="0">
                  <c:v>Feliz Navidad</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FutureAnalysis1.0!$C$6:$C$13</c:f>
              <c:numCache>
                <c:formatCode>0</c:formatCode>
                <c:ptCount val="8"/>
                <c:pt idx="0">
                  <c:v>25543547</c:v>
                </c:pt>
                <c:pt idx="1">
                  <c:v>36691887</c:v>
                </c:pt>
                <c:pt idx="2">
                  <c:v>46795076</c:v>
                </c:pt>
                <c:pt idx="3">
                  <c:v>80509419</c:v>
                </c:pt>
                <c:pt idx="4">
                  <c:v>80259967</c:v>
                </c:pt>
                <c:pt idx="5">
                  <c:v>108289313</c:v>
                </c:pt>
                <c:pt idx="6">
                  <c:v>117952333</c:v>
                </c:pt>
                <c:pt idx="7">
                  <c:v>126984207</c:v>
                </c:pt>
              </c:numCache>
            </c:numRef>
          </c:val>
          <c:smooth val="0"/>
          <c:extLst>
            <c:ext xmlns:c16="http://schemas.microsoft.com/office/drawing/2014/chart" uri="{C3380CC4-5D6E-409C-BE32-E72D297353CC}">
              <c16:uniqueId val="{00000001-5BBF-49F8-B597-9AF4A1DB33E6}"/>
            </c:ext>
          </c:extLst>
        </c:ser>
        <c:ser>
          <c:idx val="2"/>
          <c:order val="2"/>
          <c:tx>
            <c:strRef>
              <c:f>FutureAnalysis1.0!$D$5</c:f>
              <c:strCache>
                <c:ptCount val="1"/>
                <c:pt idx="0">
                  <c:v>It's Beginning to Look a Lot Like Christmas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2"/>
            <c:dispRSqr val="0"/>
            <c:dispEq val="0"/>
          </c:trendline>
          <c:trendline>
            <c:spPr>
              <a:ln w="19050" cap="rnd">
                <a:solidFill>
                  <a:schemeClr val="accent3"/>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FutureAnalysis1.0!$D$6:$D$13</c:f>
              <c:numCache>
                <c:formatCode>0</c:formatCode>
                <c:ptCount val="8"/>
                <c:pt idx="0">
                  <c:v>45359923</c:v>
                </c:pt>
                <c:pt idx="1">
                  <c:v>78724826</c:v>
                </c:pt>
                <c:pt idx="2">
                  <c:v>72808277</c:v>
                </c:pt>
                <c:pt idx="3">
                  <c:v>131811803</c:v>
                </c:pt>
                <c:pt idx="4">
                  <c:v>118260877</c:v>
                </c:pt>
                <c:pt idx="5">
                  <c:v>152308677</c:v>
                </c:pt>
                <c:pt idx="6">
                  <c:v>161195375</c:v>
                </c:pt>
                <c:pt idx="7">
                  <c:v>144672493</c:v>
                </c:pt>
              </c:numCache>
            </c:numRef>
          </c:val>
          <c:smooth val="0"/>
          <c:extLst>
            <c:ext xmlns:c16="http://schemas.microsoft.com/office/drawing/2014/chart" uri="{C3380CC4-5D6E-409C-BE32-E72D297353CC}">
              <c16:uniqueId val="{00000002-5BBF-49F8-B597-9AF4A1DB33E6}"/>
            </c:ext>
          </c:extLst>
        </c:ser>
        <c:ser>
          <c:idx val="3"/>
          <c:order val="3"/>
          <c:tx>
            <c:strRef>
              <c:f>FutureAnalysis1.0!$E$5</c:f>
              <c:strCache>
                <c:ptCount val="1"/>
                <c:pt idx="0">
                  <c:v>Jingle Bell Rock</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FutureAnalysis1.0!$E$6:$E$13</c:f>
              <c:numCache>
                <c:formatCode>0</c:formatCode>
                <c:ptCount val="8"/>
                <c:pt idx="0">
                  <c:v>16251595</c:v>
                </c:pt>
                <c:pt idx="1">
                  <c:v>69704599</c:v>
                </c:pt>
                <c:pt idx="2">
                  <c:v>67909290</c:v>
                </c:pt>
                <c:pt idx="3">
                  <c:v>127475378</c:v>
                </c:pt>
                <c:pt idx="4">
                  <c:v>120257604</c:v>
                </c:pt>
                <c:pt idx="5">
                  <c:v>172205826</c:v>
                </c:pt>
                <c:pt idx="6">
                  <c:v>195129912</c:v>
                </c:pt>
                <c:pt idx="7">
                  <c:v>221784411</c:v>
                </c:pt>
              </c:numCache>
            </c:numRef>
          </c:val>
          <c:smooth val="0"/>
          <c:extLst>
            <c:ext xmlns:c16="http://schemas.microsoft.com/office/drawing/2014/chart" uri="{C3380CC4-5D6E-409C-BE32-E72D297353CC}">
              <c16:uniqueId val="{00000003-5BBF-49F8-B597-9AF4A1DB33E6}"/>
            </c:ext>
          </c:extLst>
        </c:ser>
        <c:ser>
          <c:idx val="4"/>
          <c:order val="4"/>
          <c:tx>
            <c:strRef>
              <c:f>FutureAnalysis1.0!$F$5</c:f>
              <c:strCache>
                <c:ptCount val="1"/>
                <c:pt idx="0">
                  <c:v>Last Christmas</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linear"/>
            <c:forward val="2"/>
            <c:dispRSqr val="0"/>
            <c:dispEq val="0"/>
          </c:trendline>
          <c:trendline>
            <c:spPr>
              <a:ln w="19050" cap="rnd">
                <a:solidFill>
                  <a:schemeClr val="accent5"/>
                </a:solidFill>
                <a:prstDash val="sysDot"/>
              </a:ln>
              <a:effectLst/>
            </c:spPr>
            <c:trendlineType val="linear"/>
            <c:forward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FutureAnalysis1.0!$F$6:$F$13</c:f>
              <c:numCache>
                <c:formatCode>0</c:formatCode>
                <c:ptCount val="8"/>
                <c:pt idx="0">
                  <c:v>77521681</c:v>
                </c:pt>
                <c:pt idx="1">
                  <c:v>103362271</c:v>
                </c:pt>
                <c:pt idx="2">
                  <c:v>116847808</c:v>
                </c:pt>
                <c:pt idx="3">
                  <c:v>177812370</c:v>
                </c:pt>
                <c:pt idx="4">
                  <c:v>157501660</c:v>
                </c:pt>
                <c:pt idx="5">
                  <c:v>208529876</c:v>
                </c:pt>
                <c:pt idx="6">
                  <c:v>280387751</c:v>
                </c:pt>
                <c:pt idx="7">
                  <c:v>310097292</c:v>
                </c:pt>
              </c:numCache>
            </c:numRef>
          </c:val>
          <c:smooth val="0"/>
          <c:extLst>
            <c:ext xmlns:c16="http://schemas.microsoft.com/office/drawing/2014/chart" uri="{C3380CC4-5D6E-409C-BE32-E72D297353CC}">
              <c16:uniqueId val="{00000004-5BBF-49F8-B597-9AF4A1DB33E6}"/>
            </c:ext>
          </c:extLst>
        </c:ser>
        <c:ser>
          <c:idx val="5"/>
          <c:order val="5"/>
          <c:tx>
            <c:strRef>
              <c:f>FutureAnalysis1.0!$G$5</c:f>
              <c:strCache>
                <c:ptCount val="1"/>
                <c:pt idx="0">
                  <c:v>Rockin' Around the Christmas Tree</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FutureAnalysis1.0!$G$6:$G$13</c:f>
              <c:numCache>
                <c:formatCode>0</c:formatCode>
                <c:ptCount val="8"/>
                <c:pt idx="0">
                  <c:v>39876371</c:v>
                </c:pt>
                <c:pt idx="1">
                  <c:v>72762503</c:v>
                </c:pt>
                <c:pt idx="2">
                  <c:v>67979819</c:v>
                </c:pt>
                <c:pt idx="3">
                  <c:v>132228451</c:v>
                </c:pt>
                <c:pt idx="4">
                  <c:v>121434499</c:v>
                </c:pt>
                <c:pt idx="5">
                  <c:v>193908916</c:v>
                </c:pt>
                <c:pt idx="6">
                  <c:v>234443913</c:v>
                </c:pt>
                <c:pt idx="7">
                  <c:v>249653195</c:v>
                </c:pt>
              </c:numCache>
            </c:numRef>
          </c:val>
          <c:smooth val="0"/>
          <c:extLst>
            <c:ext xmlns:c16="http://schemas.microsoft.com/office/drawing/2014/chart" uri="{C3380CC4-5D6E-409C-BE32-E72D297353CC}">
              <c16:uniqueId val="{00000005-5BBF-49F8-B597-9AF4A1DB33E6}"/>
            </c:ext>
          </c:extLst>
        </c:ser>
        <c:ser>
          <c:idx val="6"/>
          <c:order val="6"/>
          <c:tx>
            <c:strRef>
              <c:f>FutureAnalysis1.0!$H$5</c:f>
              <c:strCache>
                <c:ptCount val="1"/>
                <c:pt idx="0">
                  <c:v>Santa Tell Me</c:v>
                </c:pt>
              </c:strCache>
            </c:strRef>
          </c:tx>
          <c:spPr>
            <a:ln w="28575" cap="rnd">
              <a:solidFill>
                <a:schemeClr val="accent1">
                  <a:lumMod val="60000"/>
                </a:schemeClr>
              </a:solidFill>
              <a:round/>
            </a:ln>
            <a:effectLst/>
          </c:spPr>
          <c:marker>
            <c:symbol val="none"/>
          </c:marker>
          <c:trendline>
            <c:spPr>
              <a:ln w="19050" cap="rnd">
                <a:solidFill>
                  <a:schemeClr val="accent1">
                    <a:lumMod val="60000"/>
                  </a:schemeClr>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FutureAnalysis1.0!$H$6:$H$13</c:f>
              <c:numCache>
                <c:formatCode>0</c:formatCode>
                <c:ptCount val="8"/>
                <c:pt idx="0">
                  <c:v>41023501</c:v>
                </c:pt>
                <c:pt idx="1">
                  <c:v>90474022</c:v>
                </c:pt>
                <c:pt idx="2">
                  <c:v>86497197</c:v>
                </c:pt>
                <c:pt idx="3">
                  <c:v>141074344</c:v>
                </c:pt>
                <c:pt idx="4">
                  <c:v>107673665</c:v>
                </c:pt>
                <c:pt idx="5">
                  <c:v>135524605</c:v>
                </c:pt>
                <c:pt idx="6">
                  <c:v>178472753</c:v>
                </c:pt>
                <c:pt idx="7">
                  <c:v>195175602</c:v>
                </c:pt>
              </c:numCache>
            </c:numRef>
          </c:val>
          <c:smooth val="0"/>
          <c:extLst>
            <c:ext xmlns:c16="http://schemas.microsoft.com/office/drawing/2014/chart" uri="{C3380CC4-5D6E-409C-BE32-E72D297353CC}">
              <c16:uniqueId val="{00000006-5BBF-49F8-B597-9AF4A1DB33E6}"/>
            </c:ext>
          </c:extLst>
        </c:ser>
        <c:dLbls>
          <c:showLegendKey val="0"/>
          <c:showVal val="0"/>
          <c:showCatName val="0"/>
          <c:showSerName val="0"/>
          <c:showPercent val="0"/>
          <c:showBubbleSize val="0"/>
        </c:dLbls>
        <c:smooth val="0"/>
        <c:axId val="1855935168"/>
        <c:axId val="1855942368"/>
      </c:lineChart>
      <c:catAx>
        <c:axId val="1855935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42368"/>
        <c:crosses val="autoZero"/>
        <c:auto val="1"/>
        <c:lblAlgn val="ctr"/>
        <c:lblOffset val="100"/>
        <c:noMultiLvlLbl val="0"/>
      </c:catAx>
      <c:valAx>
        <c:axId val="18559423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Forecast</a:t>
            </a:r>
            <a:r>
              <a:rPr lang="en-GB" baseline="0"/>
              <a:t> for Total streams vs years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FutureAnalysis2.0!$B$4</c:f>
              <c:strCache>
                <c:ptCount val="1"/>
                <c:pt idx="0">
                  <c:v>Sum of streams</c:v>
                </c:pt>
              </c:strCache>
            </c:strRef>
          </c:tx>
          <c:spPr>
            <a:ln w="28575" cap="rnd">
              <a:solidFill>
                <a:schemeClr val="accent1"/>
              </a:solidFill>
              <a:round/>
            </a:ln>
            <a:effectLst/>
          </c:spPr>
          <c:marker>
            <c:symbol val="none"/>
          </c:marker>
          <c:val>
            <c:numRef>
              <c:f>FutureAnalysis2.0!$B$5:$B$14</c:f>
              <c:numCache>
                <c:formatCode>0</c:formatCode>
                <c:ptCount val="10"/>
                <c:pt idx="0">
                  <c:v>359461696</c:v>
                </c:pt>
                <c:pt idx="1">
                  <c:v>595483091</c:v>
                </c:pt>
                <c:pt idx="2">
                  <c:v>610773167</c:v>
                </c:pt>
                <c:pt idx="3">
                  <c:v>1007560272</c:v>
                </c:pt>
                <c:pt idx="4">
                  <c:v>901269455</c:v>
                </c:pt>
                <c:pt idx="5">
                  <c:v>1222813294</c:v>
                </c:pt>
                <c:pt idx="6">
                  <c:v>1474219424</c:v>
                </c:pt>
                <c:pt idx="7">
                  <c:v>1560494532</c:v>
                </c:pt>
                <c:pt idx="8" formatCode="General">
                  <c:v>310445852</c:v>
                </c:pt>
              </c:numCache>
            </c:numRef>
          </c:val>
          <c:smooth val="0"/>
          <c:extLst>
            <c:ext xmlns:c16="http://schemas.microsoft.com/office/drawing/2014/chart" uri="{C3380CC4-5D6E-409C-BE32-E72D297353CC}">
              <c16:uniqueId val="{00000000-4155-48A8-99C1-21DA192775B1}"/>
            </c:ext>
          </c:extLst>
        </c:ser>
        <c:ser>
          <c:idx val="1"/>
          <c:order val="1"/>
          <c:tx>
            <c:strRef>
              <c:f>FutureAnalysis2.0!$C$4</c:f>
              <c:strCache>
                <c:ptCount val="1"/>
                <c:pt idx="0">
                  <c:v>Forecast(Sum of streams)</c:v>
                </c:pt>
              </c:strCache>
            </c:strRef>
          </c:tx>
          <c:spPr>
            <a:ln w="25400" cap="rnd">
              <a:solidFill>
                <a:schemeClr val="accent2"/>
              </a:solidFill>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FutureAnalysis2.0!$C$5:$C$14</c:f>
              <c:numCache>
                <c:formatCode>General</c:formatCode>
                <c:ptCount val="10"/>
                <c:pt idx="7" formatCode="0">
                  <c:v>1560494532</c:v>
                </c:pt>
                <c:pt idx="8" formatCode="0">
                  <c:v>1743422023.1737916</c:v>
                </c:pt>
                <c:pt idx="9" formatCode="0">
                  <c:v>1916419388.3283267</c:v>
                </c:pt>
              </c:numCache>
            </c:numRef>
          </c:val>
          <c:smooth val="0"/>
          <c:extLst>
            <c:ext xmlns:c16="http://schemas.microsoft.com/office/drawing/2014/chart" uri="{C3380CC4-5D6E-409C-BE32-E72D297353CC}">
              <c16:uniqueId val="{00000001-4155-48A8-99C1-21DA192775B1}"/>
            </c:ext>
          </c:extLst>
        </c:ser>
        <c:ser>
          <c:idx val="2"/>
          <c:order val="2"/>
          <c:tx>
            <c:strRef>
              <c:f>FutureAnalysis2.0!$D$4</c:f>
              <c:strCache>
                <c:ptCount val="1"/>
                <c:pt idx="0">
                  <c:v>Lower Confidence Bound(Sum of streams)</c:v>
                </c:pt>
              </c:strCache>
            </c:strRef>
          </c:tx>
          <c:spPr>
            <a:ln w="12700" cap="rnd">
              <a:solidFill>
                <a:srgbClr val="E97132"/>
              </a:solidFill>
              <a:prstDash val="solid"/>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FutureAnalysis2.0!$D$5:$D$14</c:f>
              <c:numCache>
                <c:formatCode>General</c:formatCode>
                <c:ptCount val="10"/>
                <c:pt idx="7" formatCode="0">
                  <c:v>1560494532</c:v>
                </c:pt>
                <c:pt idx="8" formatCode="0">
                  <c:v>1576086665.2389953</c:v>
                </c:pt>
                <c:pt idx="9" formatCode="0">
                  <c:v>1749083277.3861139</c:v>
                </c:pt>
              </c:numCache>
            </c:numRef>
          </c:val>
          <c:smooth val="0"/>
          <c:extLst>
            <c:ext xmlns:c16="http://schemas.microsoft.com/office/drawing/2014/chart" uri="{C3380CC4-5D6E-409C-BE32-E72D297353CC}">
              <c16:uniqueId val="{00000002-4155-48A8-99C1-21DA192775B1}"/>
            </c:ext>
          </c:extLst>
        </c:ser>
        <c:ser>
          <c:idx val="3"/>
          <c:order val="3"/>
          <c:tx>
            <c:strRef>
              <c:f>FutureAnalysis2.0!$E$4</c:f>
              <c:strCache>
                <c:ptCount val="1"/>
                <c:pt idx="0">
                  <c:v>Upper Confidence Bound(Sum of streams)</c:v>
                </c:pt>
              </c:strCache>
            </c:strRef>
          </c:tx>
          <c:spPr>
            <a:ln w="12700" cap="rnd">
              <a:solidFill>
                <a:srgbClr val="E97132"/>
              </a:solidFill>
              <a:prstDash val="solid"/>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FutureAnalysis2.0!$E$5:$E$14</c:f>
              <c:numCache>
                <c:formatCode>General</c:formatCode>
                <c:ptCount val="10"/>
                <c:pt idx="7" formatCode="0">
                  <c:v>1560494532</c:v>
                </c:pt>
                <c:pt idx="8" formatCode="0">
                  <c:v>1910757381.108588</c:v>
                </c:pt>
                <c:pt idx="9" formatCode="0">
                  <c:v>2083755499.2705395</c:v>
                </c:pt>
              </c:numCache>
            </c:numRef>
          </c:val>
          <c:smooth val="0"/>
          <c:extLst>
            <c:ext xmlns:c16="http://schemas.microsoft.com/office/drawing/2014/chart" uri="{C3380CC4-5D6E-409C-BE32-E72D297353CC}">
              <c16:uniqueId val="{00000003-4155-48A8-99C1-21DA192775B1}"/>
            </c:ext>
          </c:extLst>
        </c:ser>
        <c:dLbls>
          <c:showLegendKey val="0"/>
          <c:showVal val="0"/>
          <c:showCatName val="0"/>
          <c:showSerName val="0"/>
          <c:showPercent val="0"/>
          <c:showBubbleSize val="0"/>
        </c:dLbls>
        <c:smooth val="0"/>
        <c:axId val="204930751"/>
        <c:axId val="204931711"/>
      </c:lineChart>
      <c:catAx>
        <c:axId val="20493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931711"/>
        <c:crosses val="autoZero"/>
        <c:auto val="1"/>
        <c:lblAlgn val="ctr"/>
        <c:lblOffset val="100"/>
        <c:noMultiLvlLbl val="0"/>
      </c:catAx>
      <c:valAx>
        <c:axId val="20493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Streams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930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Streams across Years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PresentAnalysis1.0!$B$4:$B$5</c:f>
              <c:strCache>
                <c:ptCount val="1"/>
                <c:pt idx="0">
                  <c:v>All I Want for Christmas Is You</c:v>
                </c:pt>
              </c:strCache>
            </c:strRef>
          </c:tx>
          <c:spPr>
            <a:solidFill>
              <a:schemeClr val="accent1"/>
            </a:solidFill>
            <a:ln>
              <a:noFill/>
            </a:ln>
            <a:effectLst/>
            <a:sp3d/>
          </c:spPr>
          <c:invertIfNegative val="0"/>
          <c:cat>
            <c:strRef>
              <c:f>PresentAnalysis1.0!$A$6:$A$9</c:f>
              <c:strCache>
                <c:ptCount val="3"/>
                <c:pt idx="0">
                  <c:v>Jan</c:v>
                </c:pt>
                <c:pt idx="1">
                  <c:v>Nov</c:v>
                </c:pt>
                <c:pt idx="2">
                  <c:v>Dec</c:v>
                </c:pt>
              </c:strCache>
            </c:strRef>
          </c:cat>
          <c:val>
            <c:numRef>
              <c:f>PresentAnalysis1.0!$B$6:$B$9</c:f>
              <c:numCache>
                <c:formatCode>0</c:formatCode>
                <c:ptCount val="3"/>
                <c:pt idx="0">
                  <c:v>16441641</c:v>
                </c:pt>
                <c:pt idx="1">
                  <c:v>419200097</c:v>
                </c:pt>
                <c:pt idx="2">
                  <c:v>1336759784</c:v>
                </c:pt>
              </c:numCache>
            </c:numRef>
          </c:val>
          <c:extLst>
            <c:ext xmlns:c16="http://schemas.microsoft.com/office/drawing/2014/chart" uri="{C3380CC4-5D6E-409C-BE32-E72D297353CC}">
              <c16:uniqueId val="{00000000-A347-4EDD-8449-D49D77871D9A}"/>
            </c:ext>
          </c:extLst>
        </c:ser>
        <c:ser>
          <c:idx val="1"/>
          <c:order val="1"/>
          <c:tx>
            <c:strRef>
              <c:f>PresentAnalysis1.0!$C$4:$C$5</c:f>
              <c:strCache>
                <c:ptCount val="1"/>
                <c:pt idx="0">
                  <c:v>Feliz Navidad</c:v>
                </c:pt>
              </c:strCache>
            </c:strRef>
          </c:tx>
          <c:spPr>
            <a:solidFill>
              <a:schemeClr val="accent2"/>
            </a:solidFill>
            <a:ln>
              <a:noFill/>
            </a:ln>
            <a:effectLst/>
            <a:sp3d/>
          </c:spPr>
          <c:invertIfNegative val="0"/>
          <c:cat>
            <c:strRef>
              <c:f>PresentAnalysis1.0!$A$6:$A$9</c:f>
              <c:strCache>
                <c:ptCount val="3"/>
                <c:pt idx="0">
                  <c:v>Jan</c:v>
                </c:pt>
                <c:pt idx="1">
                  <c:v>Nov</c:v>
                </c:pt>
                <c:pt idx="2">
                  <c:v>Dec</c:v>
                </c:pt>
              </c:strCache>
            </c:strRef>
          </c:cat>
          <c:val>
            <c:numRef>
              <c:f>PresentAnalysis1.0!$C$6:$C$9</c:f>
              <c:numCache>
                <c:formatCode>0</c:formatCode>
                <c:ptCount val="3"/>
                <c:pt idx="1">
                  <c:v>39518822</c:v>
                </c:pt>
                <c:pt idx="2">
                  <c:v>593376305</c:v>
                </c:pt>
              </c:numCache>
            </c:numRef>
          </c:val>
          <c:extLst>
            <c:ext xmlns:c16="http://schemas.microsoft.com/office/drawing/2014/chart" uri="{C3380CC4-5D6E-409C-BE32-E72D297353CC}">
              <c16:uniqueId val="{00000025-898E-477A-AEBE-E557FC8F2F1B}"/>
            </c:ext>
          </c:extLst>
        </c:ser>
        <c:ser>
          <c:idx val="2"/>
          <c:order val="2"/>
          <c:tx>
            <c:strRef>
              <c:f>PresentAnalysis1.0!$D$4:$D$5</c:f>
              <c:strCache>
                <c:ptCount val="1"/>
                <c:pt idx="0">
                  <c:v>It's Beginning to Look a Lot Like Christmas</c:v>
                </c:pt>
              </c:strCache>
            </c:strRef>
          </c:tx>
          <c:spPr>
            <a:solidFill>
              <a:schemeClr val="accent3"/>
            </a:solidFill>
            <a:ln>
              <a:noFill/>
            </a:ln>
            <a:effectLst/>
            <a:sp3d/>
          </c:spPr>
          <c:invertIfNegative val="0"/>
          <c:cat>
            <c:strRef>
              <c:f>PresentAnalysis1.0!$A$6:$A$9</c:f>
              <c:strCache>
                <c:ptCount val="3"/>
                <c:pt idx="0">
                  <c:v>Jan</c:v>
                </c:pt>
                <c:pt idx="1">
                  <c:v>Nov</c:v>
                </c:pt>
                <c:pt idx="2">
                  <c:v>Dec</c:v>
                </c:pt>
              </c:strCache>
            </c:strRef>
          </c:cat>
          <c:val>
            <c:numRef>
              <c:f>PresentAnalysis1.0!$D$6:$D$9</c:f>
              <c:numCache>
                <c:formatCode>0</c:formatCode>
                <c:ptCount val="3"/>
                <c:pt idx="1">
                  <c:v>133868388</c:v>
                </c:pt>
                <c:pt idx="2">
                  <c:v>793680111</c:v>
                </c:pt>
              </c:numCache>
            </c:numRef>
          </c:val>
          <c:extLst>
            <c:ext xmlns:c16="http://schemas.microsoft.com/office/drawing/2014/chart" uri="{C3380CC4-5D6E-409C-BE32-E72D297353CC}">
              <c16:uniqueId val="{00000026-898E-477A-AEBE-E557FC8F2F1B}"/>
            </c:ext>
          </c:extLst>
        </c:ser>
        <c:ser>
          <c:idx val="3"/>
          <c:order val="3"/>
          <c:tx>
            <c:strRef>
              <c:f>PresentAnalysis1.0!$E$4:$E$5</c:f>
              <c:strCache>
                <c:ptCount val="1"/>
                <c:pt idx="0">
                  <c:v>Jingle Bell Rock</c:v>
                </c:pt>
              </c:strCache>
            </c:strRef>
          </c:tx>
          <c:spPr>
            <a:solidFill>
              <a:schemeClr val="accent4"/>
            </a:solidFill>
            <a:ln>
              <a:noFill/>
            </a:ln>
            <a:effectLst/>
            <a:sp3d/>
          </c:spPr>
          <c:invertIfNegative val="0"/>
          <c:cat>
            <c:strRef>
              <c:f>PresentAnalysis1.0!$A$6:$A$9</c:f>
              <c:strCache>
                <c:ptCount val="3"/>
                <c:pt idx="0">
                  <c:v>Jan</c:v>
                </c:pt>
                <c:pt idx="1">
                  <c:v>Nov</c:v>
                </c:pt>
                <c:pt idx="2">
                  <c:v>Dec</c:v>
                </c:pt>
              </c:strCache>
            </c:strRef>
          </c:cat>
          <c:val>
            <c:numRef>
              <c:f>PresentAnalysis1.0!$E$6:$E$9</c:f>
              <c:numCache>
                <c:formatCode>0</c:formatCode>
                <c:ptCount val="3"/>
                <c:pt idx="1">
                  <c:v>177712766</c:v>
                </c:pt>
                <c:pt idx="2">
                  <c:v>851173279</c:v>
                </c:pt>
              </c:numCache>
            </c:numRef>
          </c:val>
          <c:extLst>
            <c:ext xmlns:c16="http://schemas.microsoft.com/office/drawing/2014/chart" uri="{C3380CC4-5D6E-409C-BE32-E72D297353CC}">
              <c16:uniqueId val="{0000002B-898E-477A-AEBE-E557FC8F2F1B}"/>
            </c:ext>
          </c:extLst>
        </c:ser>
        <c:ser>
          <c:idx val="4"/>
          <c:order val="4"/>
          <c:tx>
            <c:strRef>
              <c:f>PresentAnalysis1.0!$F$4:$F$5</c:f>
              <c:strCache>
                <c:ptCount val="1"/>
                <c:pt idx="0">
                  <c:v>Last Christmas</c:v>
                </c:pt>
              </c:strCache>
            </c:strRef>
          </c:tx>
          <c:spPr>
            <a:solidFill>
              <a:schemeClr val="accent5"/>
            </a:solidFill>
            <a:ln>
              <a:noFill/>
            </a:ln>
            <a:effectLst/>
            <a:sp3d/>
          </c:spPr>
          <c:invertIfNegative val="0"/>
          <c:cat>
            <c:strRef>
              <c:f>PresentAnalysis1.0!$A$6:$A$9</c:f>
              <c:strCache>
                <c:ptCount val="3"/>
                <c:pt idx="0">
                  <c:v>Jan</c:v>
                </c:pt>
                <c:pt idx="1">
                  <c:v>Nov</c:v>
                </c:pt>
                <c:pt idx="2">
                  <c:v>Dec</c:v>
                </c:pt>
              </c:strCache>
            </c:strRef>
          </c:cat>
          <c:val>
            <c:numRef>
              <c:f>PresentAnalysis1.0!$F$6:$F$9</c:f>
              <c:numCache>
                <c:formatCode>0</c:formatCode>
                <c:ptCount val="3"/>
                <c:pt idx="0">
                  <c:v>19479485</c:v>
                </c:pt>
                <c:pt idx="1">
                  <c:v>315022347</c:v>
                </c:pt>
                <c:pt idx="2">
                  <c:v>1169916439</c:v>
                </c:pt>
              </c:numCache>
            </c:numRef>
          </c:val>
          <c:extLst>
            <c:ext xmlns:c16="http://schemas.microsoft.com/office/drawing/2014/chart" uri="{C3380CC4-5D6E-409C-BE32-E72D297353CC}">
              <c16:uniqueId val="{0000002C-898E-477A-AEBE-E557FC8F2F1B}"/>
            </c:ext>
          </c:extLst>
        </c:ser>
        <c:ser>
          <c:idx val="5"/>
          <c:order val="5"/>
          <c:tx>
            <c:strRef>
              <c:f>PresentAnalysis1.0!$G$4:$G$5</c:f>
              <c:strCache>
                <c:ptCount val="1"/>
                <c:pt idx="0">
                  <c:v>Rockin' Around the Christmas Tree</c:v>
                </c:pt>
              </c:strCache>
            </c:strRef>
          </c:tx>
          <c:spPr>
            <a:solidFill>
              <a:schemeClr val="accent6"/>
            </a:solidFill>
            <a:ln>
              <a:noFill/>
            </a:ln>
            <a:effectLst/>
            <a:sp3d/>
          </c:spPr>
          <c:invertIfNegative val="0"/>
          <c:cat>
            <c:strRef>
              <c:f>PresentAnalysis1.0!$A$6:$A$9</c:f>
              <c:strCache>
                <c:ptCount val="3"/>
                <c:pt idx="0">
                  <c:v>Jan</c:v>
                </c:pt>
                <c:pt idx="1">
                  <c:v>Nov</c:v>
                </c:pt>
                <c:pt idx="2">
                  <c:v>Dec</c:v>
                </c:pt>
              </c:strCache>
            </c:strRef>
          </c:cat>
          <c:val>
            <c:numRef>
              <c:f>PresentAnalysis1.0!$G$6:$G$9</c:f>
              <c:numCache>
                <c:formatCode>0</c:formatCode>
                <c:ptCount val="3"/>
                <c:pt idx="0">
                  <c:v>8533518</c:v>
                </c:pt>
                <c:pt idx="1">
                  <c:v>203755839</c:v>
                </c:pt>
                <c:pt idx="2">
                  <c:v>950593651</c:v>
                </c:pt>
              </c:numCache>
            </c:numRef>
          </c:val>
          <c:extLst>
            <c:ext xmlns:c16="http://schemas.microsoft.com/office/drawing/2014/chart" uri="{C3380CC4-5D6E-409C-BE32-E72D297353CC}">
              <c16:uniqueId val="{0000002D-898E-477A-AEBE-E557FC8F2F1B}"/>
            </c:ext>
          </c:extLst>
        </c:ser>
        <c:ser>
          <c:idx val="6"/>
          <c:order val="6"/>
          <c:tx>
            <c:strRef>
              <c:f>PresentAnalysis1.0!$H$4:$H$5</c:f>
              <c:strCache>
                <c:ptCount val="1"/>
                <c:pt idx="0">
                  <c:v>Santa Tell Me</c:v>
                </c:pt>
              </c:strCache>
            </c:strRef>
          </c:tx>
          <c:spPr>
            <a:solidFill>
              <a:schemeClr val="accent1">
                <a:lumMod val="60000"/>
              </a:schemeClr>
            </a:solidFill>
            <a:ln>
              <a:noFill/>
            </a:ln>
            <a:effectLst/>
            <a:sp3d/>
          </c:spPr>
          <c:invertIfNegative val="0"/>
          <c:cat>
            <c:strRef>
              <c:f>PresentAnalysis1.0!$A$6:$A$9</c:f>
              <c:strCache>
                <c:ptCount val="3"/>
                <c:pt idx="0">
                  <c:v>Jan</c:v>
                </c:pt>
                <c:pt idx="1">
                  <c:v>Nov</c:v>
                </c:pt>
                <c:pt idx="2">
                  <c:v>Dec</c:v>
                </c:pt>
              </c:strCache>
            </c:strRef>
          </c:cat>
          <c:val>
            <c:numRef>
              <c:f>PresentAnalysis1.0!$H$6:$H$9</c:f>
              <c:numCache>
                <c:formatCode>0</c:formatCode>
                <c:ptCount val="3"/>
                <c:pt idx="1">
                  <c:v>182060006</c:v>
                </c:pt>
                <c:pt idx="2">
                  <c:v>831428305</c:v>
                </c:pt>
              </c:numCache>
            </c:numRef>
          </c:val>
          <c:extLst>
            <c:ext xmlns:c16="http://schemas.microsoft.com/office/drawing/2014/chart" uri="{C3380CC4-5D6E-409C-BE32-E72D297353CC}">
              <c16:uniqueId val="{0000002E-898E-477A-AEBE-E557FC8F2F1B}"/>
            </c:ext>
          </c:extLst>
        </c:ser>
        <c:dLbls>
          <c:showLegendKey val="0"/>
          <c:showVal val="0"/>
          <c:showCatName val="0"/>
          <c:showSerName val="0"/>
          <c:showPercent val="0"/>
          <c:showBubbleSize val="0"/>
        </c:dLbls>
        <c:gapWidth val="150"/>
        <c:shape val="box"/>
        <c:axId val="2121413727"/>
        <c:axId val="2121406527"/>
        <c:axId val="0"/>
      </c:bar3DChart>
      <c:catAx>
        <c:axId val="212141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21406527"/>
        <c:crosses val="autoZero"/>
        <c:auto val="1"/>
        <c:lblAlgn val="ctr"/>
        <c:lblOffset val="100"/>
        <c:noMultiLvlLbl val="0"/>
      </c:catAx>
      <c:valAx>
        <c:axId val="2121406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214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Forecast for Total streams vs Years (2017 - 2024)</a:t>
            </a:r>
            <a:r>
              <a:rPr lang="en-GB" b="1" baseline="0"/>
              <a:t>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FutureAnalysis2.0!$B$4</c:f>
              <c:strCache>
                <c:ptCount val="1"/>
                <c:pt idx="0">
                  <c:v>Sum of streams</c:v>
                </c:pt>
              </c:strCache>
            </c:strRef>
          </c:tx>
          <c:spPr>
            <a:ln w="28575" cap="rnd">
              <a:solidFill>
                <a:schemeClr val="accent1"/>
              </a:solidFill>
              <a:round/>
            </a:ln>
            <a:effectLst/>
          </c:spPr>
          <c:marker>
            <c:symbol val="none"/>
          </c:marker>
          <c:val>
            <c:numRef>
              <c:f>FutureAnalysis2.0!$B$5:$B$14</c:f>
              <c:numCache>
                <c:formatCode>0</c:formatCode>
                <c:ptCount val="10"/>
                <c:pt idx="0">
                  <c:v>359461696</c:v>
                </c:pt>
                <c:pt idx="1">
                  <c:v>595483091</c:v>
                </c:pt>
                <c:pt idx="2">
                  <c:v>610773167</c:v>
                </c:pt>
                <c:pt idx="3">
                  <c:v>1007560272</c:v>
                </c:pt>
                <c:pt idx="4">
                  <c:v>901269455</c:v>
                </c:pt>
                <c:pt idx="5">
                  <c:v>1222813294</c:v>
                </c:pt>
                <c:pt idx="6">
                  <c:v>1474219424</c:v>
                </c:pt>
                <c:pt idx="7">
                  <c:v>1560494532</c:v>
                </c:pt>
                <c:pt idx="8" formatCode="General">
                  <c:v>310445852</c:v>
                </c:pt>
              </c:numCache>
            </c:numRef>
          </c:val>
          <c:smooth val="0"/>
          <c:extLst>
            <c:ext xmlns:c16="http://schemas.microsoft.com/office/drawing/2014/chart" uri="{C3380CC4-5D6E-409C-BE32-E72D297353CC}">
              <c16:uniqueId val="{00000000-A9B6-4614-A451-592D22200982}"/>
            </c:ext>
          </c:extLst>
        </c:ser>
        <c:ser>
          <c:idx val="1"/>
          <c:order val="1"/>
          <c:tx>
            <c:strRef>
              <c:f>FutureAnalysis2.0!$C$4</c:f>
              <c:strCache>
                <c:ptCount val="1"/>
                <c:pt idx="0">
                  <c:v>Forecast(Sum of streams)</c:v>
                </c:pt>
              </c:strCache>
            </c:strRef>
          </c:tx>
          <c:spPr>
            <a:ln w="25400" cap="rnd">
              <a:solidFill>
                <a:schemeClr val="accent2"/>
              </a:solidFill>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FutureAnalysis2.0!$C$5:$C$14</c:f>
              <c:numCache>
                <c:formatCode>General</c:formatCode>
                <c:ptCount val="10"/>
                <c:pt idx="7" formatCode="0">
                  <c:v>1560494532</c:v>
                </c:pt>
                <c:pt idx="8" formatCode="0">
                  <c:v>1743422023.1737916</c:v>
                </c:pt>
                <c:pt idx="9" formatCode="0">
                  <c:v>1916419388.3283267</c:v>
                </c:pt>
              </c:numCache>
            </c:numRef>
          </c:val>
          <c:smooth val="0"/>
          <c:extLst>
            <c:ext xmlns:c16="http://schemas.microsoft.com/office/drawing/2014/chart" uri="{C3380CC4-5D6E-409C-BE32-E72D297353CC}">
              <c16:uniqueId val="{00000001-A9B6-4614-A451-592D22200982}"/>
            </c:ext>
          </c:extLst>
        </c:ser>
        <c:ser>
          <c:idx val="2"/>
          <c:order val="2"/>
          <c:tx>
            <c:strRef>
              <c:f>FutureAnalysis2.0!$D$4</c:f>
              <c:strCache>
                <c:ptCount val="1"/>
                <c:pt idx="0">
                  <c:v>Lower Confidence Bound(Sum of streams)</c:v>
                </c:pt>
              </c:strCache>
            </c:strRef>
          </c:tx>
          <c:spPr>
            <a:ln w="12700" cap="rnd">
              <a:solidFill>
                <a:srgbClr val="E97132"/>
              </a:solidFill>
              <a:prstDash val="solid"/>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FutureAnalysis2.0!$D$5:$D$14</c:f>
              <c:numCache>
                <c:formatCode>General</c:formatCode>
                <c:ptCount val="10"/>
                <c:pt idx="7" formatCode="0">
                  <c:v>1560494532</c:v>
                </c:pt>
                <c:pt idx="8" formatCode="0">
                  <c:v>1576086665.2389953</c:v>
                </c:pt>
                <c:pt idx="9" formatCode="0">
                  <c:v>1749083277.3861139</c:v>
                </c:pt>
              </c:numCache>
            </c:numRef>
          </c:val>
          <c:smooth val="0"/>
          <c:extLst>
            <c:ext xmlns:c16="http://schemas.microsoft.com/office/drawing/2014/chart" uri="{C3380CC4-5D6E-409C-BE32-E72D297353CC}">
              <c16:uniqueId val="{00000002-A9B6-4614-A451-592D22200982}"/>
            </c:ext>
          </c:extLst>
        </c:ser>
        <c:ser>
          <c:idx val="3"/>
          <c:order val="3"/>
          <c:tx>
            <c:strRef>
              <c:f>FutureAnalysis2.0!$E$4</c:f>
              <c:strCache>
                <c:ptCount val="1"/>
                <c:pt idx="0">
                  <c:v>Upper Confidence Bound(Sum of streams)</c:v>
                </c:pt>
              </c:strCache>
            </c:strRef>
          </c:tx>
          <c:spPr>
            <a:ln w="12700" cap="rnd">
              <a:solidFill>
                <a:srgbClr val="E97132"/>
              </a:solidFill>
              <a:prstDash val="solid"/>
              <a:round/>
            </a:ln>
            <a:effectLst/>
          </c:spPr>
          <c:marker>
            <c:symbol val="none"/>
          </c:marker>
          <c:cat>
            <c:numRef>
              <c:f>FutureAnalysis2.0!$A$5:$A$14</c:f>
              <c:numCache>
                <c:formatCode>mmm\-yy</c:formatCode>
                <c:ptCount val="10"/>
                <c:pt idx="0">
                  <c:v>43070</c:v>
                </c:pt>
                <c:pt idx="1">
                  <c:v>43435</c:v>
                </c:pt>
                <c:pt idx="2">
                  <c:v>43800</c:v>
                </c:pt>
                <c:pt idx="3">
                  <c:v>44166</c:v>
                </c:pt>
                <c:pt idx="4">
                  <c:v>44531</c:v>
                </c:pt>
                <c:pt idx="5">
                  <c:v>44896</c:v>
                </c:pt>
                <c:pt idx="6">
                  <c:v>45261</c:v>
                </c:pt>
                <c:pt idx="7">
                  <c:v>45627</c:v>
                </c:pt>
                <c:pt idx="8">
                  <c:v>45992</c:v>
                </c:pt>
                <c:pt idx="9">
                  <c:v>46357</c:v>
                </c:pt>
              </c:numCache>
            </c:numRef>
          </c:cat>
          <c:val>
            <c:numRef>
              <c:f>FutureAnalysis2.0!$E$5:$E$14</c:f>
              <c:numCache>
                <c:formatCode>General</c:formatCode>
                <c:ptCount val="10"/>
                <c:pt idx="7" formatCode="0">
                  <c:v>1560494532</c:v>
                </c:pt>
                <c:pt idx="8" formatCode="0">
                  <c:v>1910757381.108588</c:v>
                </c:pt>
                <c:pt idx="9" formatCode="0">
                  <c:v>2083755499.2705395</c:v>
                </c:pt>
              </c:numCache>
            </c:numRef>
          </c:val>
          <c:smooth val="0"/>
          <c:extLst>
            <c:ext xmlns:c16="http://schemas.microsoft.com/office/drawing/2014/chart" uri="{C3380CC4-5D6E-409C-BE32-E72D297353CC}">
              <c16:uniqueId val="{00000003-A9B6-4614-A451-592D22200982}"/>
            </c:ext>
          </c:extLst>
        </c:ser>
        <c:dLbls>
          <c:showLegendKey val="0"/>
          <c:showVal val="0"/>
          <c:showCatName val="0"/>
          <c:showSerName val="0"/>
          <c:showPercent val="0"/>
          <c:showBubbleSize val="0"/>
        </c:dLbls>
        <c:smooth val="0"/>
        <c:axId val="204930751"/>
        <c:axId val="204931711"/>
      </c:lineChart>
      <c:catAx>
        <c:axId val="20493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931711"/>
        <c:crosses val="autoZero"/>
        <c:auto val="1"/>
        <c:lblAlgn val="ctr"/>
        <c:lblOffset val="100"/>
        <c:noMultiLvlLbl val="0"/>
      </c:catAx>
      <c:valAx>
        <c:axId val="20493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Streams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930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Christmas songs streams</a:t>
            </a:r>
          </a:p>
        </c:rich>
      </c:tx>
      <c:layout>
        <c:manualLayout>
          <c:xMode val="edge"/>
          <c:yMode val="edge"/>
          <c:x val="0.37261897103288549"/>
          <c:y val="4.99052019884798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PresentAnalysis1.0!$B$15</c:f>
              <c:strCache>
                <c:ptCount val="1"/>
                <c:pt idx="0">
                  <c:v>Total</c:v>
                </c:pt>
              </c:strCache>
            </c:strRef>
          </c:tx>
          <c:spPr>
            <a:solidFill>
              <a:schemeClr val="accent1"/>
            </a:solidFill>
            <a:ln>
              <a:noFill/>
            </a:ln>
            <a:effectLst/>
          </c:spPr>
          <c:invertIfNegative val="0"/>
          <c:cat>
            <c:strRef>
              <c:f>PresentAnalysis1.0!$A$16:$A$23</c:f>
              <c:strCache>
                <c:ptCount val="7"/>
                <c:pt idx="0">
                  <c:v>All I Want for Christmas Is You</c:v>
                </c:pt>
                <c:pt idx="1">
                  <c:v>Last Christmas</c:v>
                </c:pt>
                <c:pt idx="2">
                  <c:v>Rockin' Around the Christmas Tree</c:v>
                </c:pt>
                <c:pt idx="3">
                  <c:v>Jingle Bell Rock</c:v>
                </c:pt>
                <c:pt idx="4">
                  <c:v>Santa Tell Me</c:v>
                </c:pt>
                <c:pt idx="5">
                  <c:v>It's Beginning to Look a Lot Like Christmas</c:v>
                </c:pt>
                <c:pt idx="6">
                  <c:v>Feliz Navidad</c:v>
                </c:pt>
              </c:strCache>
            </c:strRef>
          </c:cat>
          <c:val>
            <c:numRef>
              <c:f>PresentAnalysis1.0!$B$16:$B$23</c:f>
              <c:numCache>
                <c:formatCode>General</c:formatCode>
                <c:ptCount val="7"/>
                <c:pt idx="0">
                  <c:v>1772401522</c:v>
                </c:pt>
                <c:pt idx="1">
                  <c:v>1504418271</c:v>
                </c:pt>
                <c:pt idx="2">
                  <c:v>1162883008</c:v>
                </c:pt>
                <c:pt idx="3">
                  <c:v>1028886045</c:v>
                </c:pt>
                <c:pt idx="4">
                  <c:v>1013488311</c:v>
                </c:pt>
                <c:pt idx="5">
                  <c:v>927548499</c:v>
                </c:pt>
                <c:pt idx="6">
                  <c:v>632895127</c:v>
                </c:pt>
              </c:numCache>
            </c:numRef>
          </c:val>
          <c:extLst>
            <c:ext xmlns:c16="http://schemas.microsoft.com/office/drawing/2014/chart" uri="{C3380CC4-5D6E-409C-BE32-E72D297353CC}">
              <c16:uniqueId val="{00000000-4F6F-4FE4-B36A-6DAC1A6F9037}"/>
            </c:ext>
          </c:extLst>
        </c:ser>
        <c:dLbls>
          <c:showLegendKey val="0"/>
          <c:showVal val="0"/>
          <c:showCatName val="0"/>
          <c:showSerName val="0"/>
          <c:showPercent val="0"/>
          <c:showBubbleSize val="0"/>
        </c:dLbls>
        <c:gapWidth val="182"/>
        <c:axId val="1889272384"/>
        <c:axId val="1889273824"/>
      </c:barChart>
      <c:catAx>
        <c:axId val="188927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9273824"/>
        <c:crosses val="autoZero"/>
        <c:auto val="1"/>
        <c:lblAlgn val="ctr"/>
        <c:lblOffset val="100"/>
        <c:noMultiLvlLbl val="0"/>
      </c:catAx>
      <c:valAx>
        <c:axId val="188927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92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lumMod val="65000"/>
                    <a:lumOff val="35000"/>
                  </a:sysClr>
                </a:solidFill>
              </a:rPr>
              <a:t>Artist vs total streams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layout>
        <c:manualLayout>
          <c:xMode val="edge"/>
          <c:yMode val="edge"/>
          <c:x val="0.34044864164538857"/>
          <c:y val="5.906590443317873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PresentAnalysis1.0!$B$30:$B$31</c:f>
              <c:strCache>
                <c:ptCount val="1"/>
                <c:pt idx="0">
                  <c:v>Mariah Carey</c:v>
                </c:pt>
              </c:strCache>
            </c:strRef>
          </c:tx>
          <c:spPr>
            <a:ln w="28575" cap="rnd">
              <a:solidFill>
                <a:schemeClr val="accent1"/>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PresentAnalysis1.0!$B$32:$B$41</c:f>
              <c:numCache>
                <c:formatCode>General</c:formatCode>
                <c:ptCount val="9"/>
                <c:pt idx="0">
                  <c:v>113885078</c:v>
                </c:pt>
                <c:pt idx="1">
                  <c:v>143762983</c:v>
                </c:pt>
                <c:pt idx="2">
                  <c:v>151935700</c:v>
                </c:pt>
                <c:pt idx="3">
                  <c:v>216648507</c:v>
                </c:pt>
                <c:pt idx="4">
                  <c:v>195881183</c:v>
                </c:pt>
                <c:pt idx="5">
                  <c:v>252046081</c:v>
                </c:pt>
                <c:pt idx="6">
                  <c:v>306637387</c:v>
                </c:pt>
                <c:pt idx="7">
                  <c:v>312127332</c:v>
                </c:pt>
                <c:pt idx="8">
                  <c:v>79477271</c:v>
                </c:pt>
              </c:numCache>
            </c:numRef>
          </c:val>
          <c:smooth val="0"/>
          <c:extLst>
            <c:ext xmlns:c16="http://schemas.microsoft.com/office/drawing/2014/chart" uri="{C3380CC4-5D6E-409C-BE32-E72D297353CC}">
              <c16:uniqueId val="{00000019-790D-4D4E-A656-A4D1810A4591}"/>
            </c:ext>
          </c:extLst>
        </c:ser>
        <c:ser>
          <c:idx val="1"/>
          <c:order val="1"/>
          <c:tx>
            <c:strRef>
              <c:f>PresentAnalysis1.0!$C$30:$C$31</c:f>
              <c:strCache>
                <c:ptCount val="1"/>
                <c:pt idx="0">
                  <c:v>Wham!</c:v>
                </c:pt>
              </c:strCache>
            </c:strRef>
          </c:tx>
          <c:spPr>
            <a:ln w="28575" cap="rnd">
              <a:solidFill>
                <a:schemeClr val="accent2"/>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PresentAnalysis1.0!$C$32:$C$41</c:f>
              <c:numCache>
                <c:formatCode>General</c:formatCode>
                <c:ptCount val="9"/>
                <c:pt idx="0">
                  <c:v>77521681</c:v>
                </c:pt>
                <c:pt idx="1">
                  <c:v>103362271</c:v>
                </c:pt>
                <c:pt idx="2">
                  <c:v>116847808</c:v>
                </c:pt>
                <c:pt idx="3">
                  <c:v>177812370</c:v>
                </c:pt>
                <c:pt idx="4">
                  <c:v>157501660</c:v>
                </c:pt>
                <c:pt idx="5">
                  <c:v>208529876</c:v>
                </c:pt>
                <c:pt idx="6">
                  <c:v>280387751</c:v>
                </c:pt>
                <c:pt idx="7">
                  <c:v>310097292</c:v>
                </c:pt>
                <c:pt idx="8">
                  <c:v>72357562</c:v>
                </c:pt>
              </c:numCache>
            </c:numRef>
          </c:val>
          <c:smooth val="0"/>
          <c:extLst>
            <c:ext xmlns:c16="http://schemas.microsoft.com/office/drawing/2014/chart" uri="{C3380CC4-5D6E-409C-BE32-E72D297353CC}">
              <c16:uniqueId val="{0000001A-790D-4D4E-A656-A4D1810A4591}"/>
            </c:ext>
          </c:extLst>
        </c:ser>
        <c:ser>
          <c:idx val="2"/>
          <c:order val="2"/>
          <c:tx>
            <c:strRef>
              <c:f>PresentAnalysis1.0!$D$30:$D$31</c:f>
              <c:strCache>
                <c:ptCount val="1"/>
                <c:pt idx="0">
                  <c:v>Brenda Lee</c:v>
                </c:pt>
              </c:strCache>
            </c:strRef>
          </c:tx>
          <c:spPr>
            <a:ln w="28575" cap="rnd">
              <a:solidFill>
                <a:schemeClr val="accent3"/>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PresentAnalysis1.0!$D$32:$D$41</c:f>
              <c:numCache>
                <c:formatCode>General</c:formatCode>
                <c:ptCount val="9"/>
                <c:pt idx="0">
                  <c:v>39876371</c:v>
                </c:pt>
                <c:pt idx="1">
                  <c:v>72762503</c:v>
                </c:pt>
                <c:pt idx="2">
                  <c:v>67979819</c:v>
                </c:pt>
                <c:pt idx="3">
                  <c:v>132228451</c:v>
                </c:pt>
                <c:pt idx="4">
                  <c:v>121434499</c:v>
                </c:pt>
                <c:pt idx="5">
                  <c:v>193908916</c:v>
                </c:pt>
                <c:pt idx="6">
                  <c:v>234443913</c:v>
                </c:pt>
                <c:pt idx="7">
                  <c:v>249653195</c:v>
                </c:pt>
                <c:pt idx="8">
                  <c:v>50595341</c:v>
                </c:pt>
              </c:numCache>
            </c:numRef>
          </c:val>
          <c:smooth val="0"/>
          <c:extLst>
            <c:ext xmlns:c16="http://schemas.microsoft.com/office/drawing/2014/chart" uri="{C3380CC4-5D6E-409C-BE32-E72D297353CC}">
              <c16:uniqueId val="{0000001B-790D-4D4E-A656-A4D1810A4591}"/>
            </c:ext>
          </c:extLst>
        </c:ser>
        <c:ser>
          <c:idx val="3"/>
          <c:order val="3"/>
          <c:tx>
            <c:strRef>
              <c:f>PresentAnalysis1.0!$E$30:$E$31</c:f>
              <c:strCache>
                <c:ptCount val="1"/>
                <c:pt idx="0">
                  <c:v>Bobby Helms</c:v>
                </c:pt>
              </c:strCache>
            </c:strRef>
          </c:tx>
          <c:spPr>
            <a:ln w="28575" cap="rnd">
              <a:solidFill>
                <a:schemeClr val="accent4"/>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PresentAnalysis1.0!$E$32:$E$41</c:f>
              <c:numCache>
                <c:formatCode>General</c:formatCode>
                <c:ptCount val="9"/>
                <c:pt idx="0">
                  <c:v>16251595</c:v>
                </c:pt>
                <c:pt idx="1">
                  <c:v>69704599</c:v>
                </c:pt>
                <c:pt idx="2">
                  <c:v>67909290</c:v>
                </c:pt>
                <c:pt idx="3">
                  <c:v>127475378</c:v>
                </c:pt>
                <c:pt idx="4">
                  <c:v>120257604</c:v>
                </c:pt>
                <c:pt idx="5">
                  <c:v>172205826</c:v>
                </c:pt>
                <c:pt idx="6">
                  <c:v>195129912</c:v>
                </c:pt>
                <c:pt idx="7">
                  <c:v>221784411</c:v>
                </c:pt>
                <c:pt idx="8">
                  <c:v>38167430</c:v>
                </c:pt>
              </c:numCache>
            </c:numRef>
          </c:val>
          <c:smooth val="0"/>
          <c:extLst>
            <c:ext xmlns:c16="http://schemas.microsoft.com/office/drawing/2014/chart" uri="{C3380CC4-5D6E-409C-BE32-E72D297353CC}">
              <c16:uniqueId val="{00000020-790D-4D4E-A656-A4D1810A4591}"/>
            </c:ext>
          </c:extLst>
        </c:ser>
        <c:ser>
          <c:idx val="4"/>
          <c:order val="4"/>
          <c:tx>
            <c:strRef>
              <c:f>PresentAnalysis1.0!$F$30:$F$31</c:f>
              <c:strCache>
                <c:ptCount val="1"/>
                <c:pt idx="0">
                  <c:v>Ariana Grande</c:v>
                </c:pt>
              </c:strCache>
            </c:strRef>
          </c:tx>
          <c:spPr>
            <a:ln w="28575" cap="rnd">
              <a:solidFill>
                <a:schemeClr val="accent5"/>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PresentAnalysis1.0!$F$32:$F$41</c:f>
              <c:numCache>
                <c:formatCode>General</c:formatCode>
                <c:ptCount val="9"/>
                <c:pt idx="0">
                  <c:v>41023501</c:v>
                </c:pt>
                <c:pt idx="1">
                  <c:v>90474022</c:v>
                </c:pt>
                <c:pt idx="2">
                  <c:v>86497197</c:v>
                </c:pt>
                <c:pt idx="3">
                  <c:v>141074344</c:v>
                </c:pt>
                <c:pt idx="4">
                  <c:v>107673665</c:v>
                </c:pt>
                <c:pt idx="5">
                  <c:v>135524605</c:v>
                </c:pt>
                <c:pt idx="6">
                  <c:v>178472753</c:v>
                </c:pt>
                <c:pt idx="7">
                  <c:v>195175602</c:v>
                </c:pt>
                <c:pt idx="8">
                  <c:v>37572622</c:v>
                </c:pt>
              </c:numCache>
            </c:numRef>
          </c:val>
          <c:smooth val="0"/>
          <c:extLst>
            <c:ext xmlns:c16="http://schemas.microsoft.com/office/drawing/2014/chart" uri="{C3380CC4-5D6E-409C-BE32-E72D297353CC}">
              <c16:uniqueId val="{00000021-790D-4D4E-A656-A4D1810A4591}"/>
            </c:ext>
          </c:extLst>
        </c:ser>
        <c:ser>
          <c:idx val="5"/>
          <c:order val="5"/>
          <c:tx>
            <c:strRef>
              <c:f>PresentAnalysis1.0!$G$30:$G$31</c:f>
              <c:strCache>
                <c:ptCount val="1"/>
                <c:pt idx="0">
                  <c:v>Michael BublÃ©</c:v>
                </c:pt>
              </c:strCache>
            </c:strRef>
          </c:tx>
          <c:spPr>
            <a:ln w="28575" cap="rnd">
              <a:solidFill>
                <a:schemeClr val="accent6"/>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PresentAnalysis1.0!$G$32:$G$41</c:f>
              <c:numCache>
                <c:formatCode>General</c:formatCode>
                <c:ptCount val="9"/>
                <c:pt idx="0">
                  <c:v>45359923</c:v>
                </c:pt>
                <c:pt idx="1">
                  <c:v>78724826</c:v>
                </c:pt>
                <c:pt idx="2">
                  <c:v>72808277</c:v>
                </c:pt>
                <c:pt idx="3">
                  <c:v>131811803</c:v>
                </c:pt>
                <c:pt idx="4">
                  <c:v>118260877</c:v>
                </c:pt>
                <c:pt idx="5">
                  <c:v>152308677</c:v>
                </c:pt>
                <c:pt idx="6">
                  <c:v>161195375</c:v>
                </c:pt>
                <c:pt idx="7">
                  <c:v>144672493</c:v>
                </c:pt>
                <c:pt idx="8">
                  <c:v>22406248</c:v>
                </c:pt>
              </c:numCache>
            </c:numRef>
          </c:val>
          <c:smooth val="0"/>
          <c:extLst>
            <c:ext xmlns:c16="http://schemas.microsoft.com/office/drawing/2014/chart" uri="{C3380CC4-5D6E-409C-BE32-E72D297353CC}">
              <c16:uniqueId val="{00000022-790D-4D4E-A656-A4D1810A4591}"/>
            </c:ext>
          </c:extLst>
        </c:ser>
        <c:ser>
          <c:idx val="6"/>
          <c:order val="6"/>
          <c:tx>
            <c:strRef>
              <c:f>PresentAnalysis1.0!$H$30:$H$31</c:f>
              <c:strCache>
                <c:ptCount val="1"/>
                <c:pt idx="0">
                  <c:v>JosÃ© Feliciano</c:v>
                </c:pt>
              </c:strCache>
            </c:strRef>
          </c:tx>
          <c:spPr>
            <a:ln w="28575" cap="rnd">
              <a:solidFill>
                <a:schemeClr val="accent1">
                  <a:lumMod val="60000"/>
                </a:schemeClr>
              </a:solidFill>
              <a:round/>
            </a:ln>
            <a:effectLst/>
          </c:spPr>
          <c:marker>
            <c:symbol val="none"/>
          </c:marker>
          <c:cat>
            <c:strRef>
              <c:f>PresentAnalysis1.0!$A$32:$A$41</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PresentAnalysis1.0!$H$32:$H$41</c:f>
              <c:numCache>
                <c:formatCode>General</c:formatCode>
                <c:ptCount val="9"/>
                <c:pt idx="0">
                  <c:v>25543547</c:v>
                </c:pt>
                <c:pt idx="1">
                  <c:v>36691887</c:v>
                </c:pt>
                <c:pt idx="2">
                  <c:v>46795076</c:v>
                </c:pt>
                <c:pt idx="3">
                  <c:v>80509419</c:v>
                </c:pt>
                <c:pt idx="4">
                  <c:v>80259967</c:v>
                </c:pt>
                <c:pt idx="5">
                  <c:v>108289313</c:v>
                </c:pt>
                <c:pt idx="6">
                  <c:v>117952333</c:v>
                </c:pt>
                <c:pt idx="7">
                  <c:v>126984207</c:v>
                </c:pt>
                <c:pt idx="8">
                  <c:v>9869378</c:v>
                </c:pt>
              </c:numCache>
            </c:numRef>
          </c:val>
          <c:smooth val="0"/>
          <c:extLst>
            <c:ext xmlns:c16="http://schemas.microsoft.com/office/drawing/2014/chart" uri="{C3380CC4-5D6E-409C-BE32-E72D297353CC}">
              <c16:uniqueId val="{00000023-790D-4D4E-A656-A4D1810A4591}"/>
            </c:ext>
          </c:extLst>
        </c:ser>
        <c:dLbls>
          <c:showLegendKey val="0"/>
          <c:showVal val="0"/>
          <c:showCatName val="0"/>
          <c:showSerName val="0"/>
          <c:showPercent val="0"/>
          <c:showBubbleSize val="0"/>
        </c:dLbls>
        <c:smooth val="0"/>
        <c:axId val="1726356528"/>
        <c:axId val="1726363728"/>
      </c:lineChart>
      <c:catAx>
        <c:axId val="17263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363728"/>
        <c:crosses val="autoZero"/>
        <c:auto val="1"/>
        <c:lblAlgn val="ctr"/>
        <c:lblOffset val="100"/>
        <c:noMultiLvlLbl val="0"/>
      </c:catAx>
      <c:valAx>
        <c:axId val="17263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3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[spotify_christmas_streams_kworb_2017_2025.xlsx]PresentAnalysis1.0!PivotTable6</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Total christmas streams vs weeks</a:t>
            </a:r>
          </a:p>
        </c:rich>
      </c:tx>
      <c:layout>
        <c:manualLayout>
          <c:xMode val="edge"/>
          <c:yMode val="edge"/>
          <c:x val="0.25341145172569263"/>
          <c:y val="8.043688904616601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PresentAnalysis1.0!$B$45</c:f>
              <c:strCache>
                <c:ptCount val="1"/>
                <c:pt idx="0">
                  <c:v>Total</c:v>
                </c:pt>
              </c:strCache>
            </c:strRef>
          </c:tx>
          <c:spPr>
            <a:solidFill>
              <a:schemeClr val="accent1"/>
            </a:solidFill>
            <a:ln>
              <a:noFill/>
            </a:ln>
            <a:effectLst/>
          </c:spPr>
          <c:invertIfNegative val="0"/>
          <c:cat>
            <c:strRef>
              <c:f>PresentAnalysis1.0!$A$46:$A$56</c:f>
              <c:strCache>
                <c:ptCount val="10"/>
                <c:pt idx="0">
                  <c:v>45</c:v>
                </c:pt>
                <c:pt idx="1">
                  <c:v>46</c:v>
                </c:pt>
                <c:pt idx="2">
                  <c:v>47</c:v>
                </c:pt>
                <c:pt idx="3">
                  <c:v>48</c:v>
                </c:pt>
                <c:pt idx="4">
                  <c:v>49</c:v>
                </c:pt>
                <c:pt idx="5">
                  <c:v>50</c:v>
                </c:pt>
                <c:pt idx="6">
                  <c:v>51</c:v>
                </c:pt>
                <c:pt idx="7">
                  <c:v>52</c:v>
                </c:pt>
                <c:pt idx="8">
                  <c:v>53</c:v>
                </c:pt>
                <c:pt idx="9">
                  <c:v>54</c:v>
                </c:pt>
              </c:strCache>
            </c:strRef>
          </c:cat>
          <c:val>
            <c:numRef>
              <c:f>PresentAnalysis1.0!$B$46:$B$56</c:f>
              <c:numCache>
                <c:formatCode>General</c:formatCode>
                <c:ptCount val="10"/>
                <c:pt idx="0">
                  <c:v>87026325</c:v>
                </c:pt>
                <c:pt idx="1">
                  <c:v>247137129</c:v>
                </c:pt>
                <c:pt idx="2">
                  <c:v>498474073</c:v>
                </c:pt>
                <c:pt idx="3">
                  <c:v>885976489</c:v>
                </c:pt>
                <c:pt idx="4">
                  <c:v>1193738974</c:v>
                </c:pt>
                <c:pt idx="5">
                  <c:v>1302528175</c:v>
                </c:pt>
                <c:pt idx="6">
                  <c:v>1495591873</c:v>
                </c:pt>
                <c:pt idx="7">
                  <c:v>2166761380</c:v>
                </c:pt>
                <c:pt idx="8">
                  <c:v>120831721</c:v>
                </c:pt>
                <c:pt idx="9">
                  <c:v>44454644</c:v>
                </c:pt>
              </c:numCache>
            </c:numRef>
          </c:val>
          <c:extLst>
            <c:ext xmlns:c16="http://schemas.microsoft.com/office/drawing/2014/chart" uri="{C3380CC4-5D6E-409C-BE32-E72D297353CC}">
              <c16:uniqueId val="{00000000-CA2B-4371-BA26-5D78DDBD1A04}"/>
            </c:ext>
          </c:extLst>
        </c:ser>
        <c:dLbls>
          <c:showLegendKey val="0"/>
          <c:showVal val="0"/>
          <c:showCatName val="0"/>
          <c:showSerName val="0"/>
          <c:showPercent val="0"/>
          <c:showBubbleSize val="0"/>
        </c:dLbls>
        <c:gapWidth val="219"/>
        <c:axId val="1726564992"/>
        <c:axId val="1726577952"/>
      </c:barChart>
      <c:catAx>
        <c:axId val="17265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577952"/>
        <c:crosses val="autoZero"/>
        <c:auto val="1"/>
        <c:lblAlgn val="ctr"/>
        <c:lblOffset val="100"/>
        <c:noMultiLvlLbl val="0"/>
      </c:catAx>
      <c:valAx>
        <c:axId val="172657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5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Growth of streams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1"/>
              <a:t>vs weeks</a:t>
            </a:r>
          </a:p>
        </c:rich>
      </c:tx>
      <c:layout>
        <c:manualLayout>
          <c:xMode val="edge"/>
          <c:yMode val="edge"/>
          <c:x val="0.38595190855989758"/>
          <c:y val="4.189235459171124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PresentAnalysis1.0!$B$61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PresentAnalysis1.0!$A$62:$A$72</c:f>
              <c:strCache>
                <c:ptCount val="10"/>
                <c:pt idx="0">
                  <c:v>45</c:v>
                </c:pt>
                <c:pt idx="1">
                  <c:v>46</c:v>
                </c:pt>
                <c:pt idx="2">
                  <c:v>47</c:v>
                </c:pt>
                <c:pt idx="3">
                  <c:v>48</c:v>
                </c:pt>
                <c:pt idx="4">
                  <c:v>49</c:v>
                </c:pt>
                <c:pt idx="5">
                  <c:v>50</c:v>
                </c:pt>
                <c:pt idx="6">
                  <c:v>51</c:v>
                </c:pt>
                <c:pt idx="7">
                  <c:v>52</c:v>
                </c:pt>
                <c:pt idx="8">
                  <c:v>53</c:v>
                </c:pt>
                <c:pt idx="9">
                  <c:v>54</c:v>
                </c:pt>
              </c:strCache>
            </c:strRef>
          </c:cat>
          <c:val>
            <c:numRef>
              <c:f>PresentAnalysis1.0!$B$62:$B$72</c:f>
              <c:numCache>
                <c:formatCode>0.00%</c:formatCode>
                <c:ptCount val="10"/>
                <c:pt idx="1">
                  <c:v>1.8397973716573692</c:v>
                </c:pt>
                <c:pt idx="2">
                  <c:v>1.0169938649728345</c:v>
                </c:pt>
                <c:pt idx="3">
                  <c:v>0.77737727394299205</c:v>
                </c:pt>
                <c:pt idx="4">
                  <c:v>0.34737093909497635</c:v>
                </c:pt>
                <c:pt idx="5">
                  <c:v>9.1133156719736957E-2</c:v>
                </c:pt>
                <c:pt idx="6">
                  <c:v>0.14822228164085588</c:v>
                </c:pt>
                <c:pt idx="7">
                  <c:v>0.44876514717461291</c:v>
                </c:pt>
                <c:pt idx="8">
                  <c:v>-0.94423395113309616</c:v>
                </c:pt>
                <c:pt idx="9">
                  <c:v>-0.63209458880420977</c:v>
                </c:pt>
              </c:numCache>
            </c:numRef>
          </c:val>
          <c:smooth val="0"/>
          <c:extLst>
            <c:ext xmlns:c16="http://schemas.microsoft.com/office/drawing/2014/chart" uri="{C3380CC4-5D6E-409C-BE32-E72D297353CC}">
              <c16:uniqueId val="{00000001-2B2D-4FBF-B027-76683D681401}"/>
            </c:ext>
          </c:extLst>
        </c:ser>
        <c:dLbls>
          <c:showLegendKey val="0"/>
          <c:showVal val="0"/>
          <c:showCatName val="0"/>
          <c:showSerName val="0"/>
          <c:showPercent val="0"/>
          <c:showBubbleSize val="0"/>
        </c:dLbls>
        <c:marker val="1"/>
        <c:smooth val="0"/>
        <c:axId val="1947759408"/>
        <c:axId val="1947759888"/>
      </c:lineChart>
      <c:catAx>
        <c:axId val="19477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7759888"/>
        <c:crosses val="autoZero"/>
        <c:auto val="1"/>
        <c:lblAlgn val="ctr"/>
        <c:lblOffset val="100"/>
        <c:noMultiLvlLbl val="0"/>
      </c:catAx>
      <c:valAx>
        <c:axId val="1947759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775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[spotify_christmas_streams_kworb_2017_2025.xlsx]PresentAnalysis1.0!PivotTable8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lumMod val="65000"/>
                    <a:lumOff val="35000"/>
                  </a:sysClr>
                </a:solidFill>
              </a:rPr>
              <a:t>Growth of streams across each year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PresentAnalysis1.0!$B$79:$B$80</c:f>
              <c:strCache>
                <c:ptCount val="1"/>
                <c:pt idx="0">
                  <c:v>All I Want for Christmas Is You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PresentAnalysis1.0!$B$81:$B$90</c:f>
              <c:numCache>
                <c:formatCode>0.00%</c:formatCode>
                <c:ptCount val="9"/>
                <c:pt idx="1">
                  <c:v>0.26235135914821078</c:v>
                </c:pt>
                <c:pt idx="2">
                  <c:v>0.33411420238918393</c:v>
                </c:pt>
                <c:pt idx="3">
                  <c:v>0.90234322884689078</c:v>
                </c:pt>
                <c:pt idx="4">
                  <c:v>0.71998989191542728</c:v>
                </c:pt>
                <c:pt idx="5">
                  <c:v>1.213161596113584</c:v>
                </c:pt>
                <c:pt idx="6">
                  <c:v>1.6925159325965426</c:v>
                </c:pt>
                <c:pt idx="7">
                  <c:v>1.7407219407620724</c:v>
                </c:pt>
                <c:pt idx="8">
                  <c:v>-0.30212743938235703</c:v>
                </c:pt>
              </c:numCache>
            </c:numRef>
          </c:val>
          <c:smooth val="0"/>
          <c:extLst>
            <c:ext xmlns:c16="http://schemas.microsoft.com/office/drawing/2014/chart" uri="{C3380CC4-5D6E-409C-BE32-E72D297353CC}">
              <c16:uniqueId val="{00000000-D564-4D9B-81FD-924BFAB73A26}"/>
            </c:ext>
          </c:extLst>
        </c:ser>
        <c:ser>
          <c:idx val="1"/>
          <c:order val="1"/>
          <c:tx>
            <c:strRef>
              <c:f>PresentAnalysis1.0!$C$79:$C$80</c:f>
              <c:strCache>
                <c:ptCount val="1"/>
                <c:pt idx="0">
                  <c:v>Feliz Navidad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PresentAnalysis1.0!$C$81:$C$90</c:f>
              <c:numCache>
                <c:formatCode>0.00%</c:formatCode>
                <c:ptCount val="9"/>
                <c:pt idx="1">
                  <c:v>0.43644447656388519</c:v>
                </c:pt>
                <c:pt idx="2">
                  <c:v>0.83197251344928724</c:v>
                </c:pt>
                <c:pt idx="3">
                  <c:v>2.1518496237033955</c:v>
                </c:pt>
                <c:pt idx="4">
                  <c:v>2.1420838695581312</c:v>
                </c:pt>
                <c:pt idx="5">
                  <c:v>3.2393999940572074</c:v>
                </c:pt>
                <c:pt idx="6">
                  <c:v>3.6176959292301887</c:v>
                </c:pt>
                <c:pt idx="7">
                  <c:v>3.9712832364275799</c:v>
                </c:pt>
                <c:pt idx="8">
                  <c:v>-0.61362539039703456</c:v>
                </c:pt>
              </c:numCache>
            </c:numRef>
          </c:val>
          <c:smooth val="0"/>
          <c:extLst>
            <c:ext xmlns:c16="http://schemas.microsoft.com/office/drawing/2014/chart" uri="{C3380CC4-5D6E-409C-BE32-E72D297353CC}">
              <c16:uniqueId val="{00000019-D564-4D9B-81FD-924BFAB73A26}"/>
            </c:ext>
          </c:extLst>
        </c:ser>
        <c:ser>
          <c:idx val="2"/>
          <c:order val="2"/>
          <c:tx>
            <c:strRef>
              <c:f>PresentAnalysis1.0!$D$79:$D$80</c:f>
              <c:strCache>
                <c:ptCount val="1"/>
                <c:pt idx="0">
                  <c:v>It's Beginning to Look a Lot Like Christmas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PresentAnalysis1.0!$D$81:$D$90</c:f>
              <c:numCache>
                <c:formatCode>0.00%</c:formatCode>
                <c:ptCount val="9"/>
                <c:pt idx="1">
                  <c:v>0.73555907491289174</c:v>
                </c:pt>
                <c:pt idx="2">
                  <c:v>0.60512346989654286</c:v>
                </c:pt>
                <c:pt idx="3">
                  <c:v>1.9059088790781236</c:v>
                </c:pt>
                <c:pt idx="4">
                  <c:v>1.6071666171038252</c:v>
                </c:pt>
                <c:pt idx="5">
                  <c:v>2.3577807660740517</c:v>
                </c:pt>
                <c:pt idx="6">
                  <c:v>2.5536959575526614</c:v>
                </c:pt>
                <c:pt idx="7">
                  <c:v>2.1894342721878077</c:v>
                </c:pt>
                <c:pt idx="8">
                  <c:v>-0.50603425847967154</c:v>
                </c:pt>
              </c:numCache>
            </c:numRef>
          </c:val>
          <c:smooth val="0"/>
          <c:extLst>
            <c:ext xmlns:c16="http://schemas.microsoft.com/office/drawing/2014/chart" uri="{C3380CC4-5D6E-409C-BE32-E72D297353CC}">
              <c16:uniqueId val="{0000001A-D564-4D9B-81FD-924BFAB73A26}"/>
            </c:ext>
          </c:extLst>
        </c:ser>
        <c:ser>
          <c:idx val="3"/>
          <c:order val="3"/>
          <c:tx>
            <c:strRef>
              <c:f>PresentAnalysis1.0!$E$79:$E$80</c:f>
              <c:strCache>
                <c:ptCount val="1"/>
                <c:pt idx="0">
                  <c:v>Jingle Bell Rock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PresentAnalysis1.0!$E$81:$E$90</c:f>
              <c:numCache>
                <c:formatCode>0.00%</c:formatCode>
                <c:ptCount val="9"/>
                <c:pt idx="1">
                  <c:v>3.289092793661176</c:v>
                </c:pt>
                <c:pt idx="2">
                  <c:v>3.1786230828420226</c:v>
                </c:pt>
                <c:pt idx="3">
                  <c:v>6.8438687402682632</c:v>
                </c:pt>
                <c:pt idx="4">
                  <c:v>6.3997416253604644</c:v>
                </c:pt>
                <c:pt idx="5">
                  <c:v>9.5962415381382566</c:v>
                </c:pt>
                <c:pt idx="6">
                  <c:v>11.006816069438107</c:v>
                </c:pt>
                <c:pt idx="7">
                  <c:v>12.64693194729502</c:v>
                </c:pt>
                <c:pt idx="8">
                  <c:v>1.3485344053922093</c:v>
                </c:pt>
              </c:numCache>
            </c:numRef>
          </c:val>
          <c:smooth val="0"/>
          <c:extLst>
            <c:ext xmlns:c16="http://schemas.microsoft.com/office/drawing/2014/chart" uri="{C3380CC4-5D6E-409C-BE32-E72D297353CC}">
              <c16:uniqueId val="{0000001F-D564-4D9B-81FD-924BFAB73A26}"/>
            </c:ext>
          </c:extLst>
        </c:ser>
        <c:ser>
          <c:idx val="4"/>
          <c:order val="4"/>
          <c:tx>
            <c:strRef>
              <c:f>PresentAnalysis1.0!$F$79:$F$80</c:f>
              <c:strCache>
                <c:ptCount val="1"/>
                <c:pt idx="0">
                  <c:v>Last Christmas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PresentAnalysis1.0!$F$81:$F$90</c:f>
              <c:numCache>
                <c:formatCode>0.00%</c:formatCode>
                <c:ptCount val="9"/>
                <c:pt idx="1">
                  <c:v>0.33333371602197326</c:v>
                </c:pt>
                <c:pt idx="2">
                  <c:v>0.50729197938832105</c:v>
                </c:pt>
                <c:pt idx="3">
                  <c:v>1.2937114844039566</c:v>
                </c:pt>
                <c:pt idx="4">
                  <c:v>1.0317111028590826</c:v>
                </c:pt>
                <c:pt idx="5">
                  <c:v>1.6899555493385134</c:v>
                </c:pt>
                <c:pt idx="6">
                  <c:v>2.6168946207448727</c:v>
                </c:pt>
                <c:pt idx="7">
                  <c:v>3.000136323153261</c:v>
                </c:pt>
                <c:pt idx="8">
                  <c:v>-6.6615157635707106E-2</c:v>
                </c:pt>
              </c:numCache>
            </c:numRef>
          </c:val>
          <c:smooth val="0"/>
          <c:extLst>
            <c:ext xmlns:c16="http://schemas.microsoft.com/office/drawing/2014/chart" uri="{C3380CC4-5D6E-409C-BE32-E72D297353CC}">
              <c16:uniqueId val="{00000020-D564-4D9B-81FD-924BFAB73A26}"/>
            </c:ext>
          </c:extLst>
        </c:ser>
        <c:ser>
          <c:idx val="5"/>
          <c:order val="5"/>
          <c:tx>
            <c:strRef>
              <c:f>PresentAnalysis1.0!$G$79:$G$80</c:f>
              <c:strCache>
                <c:ptCount val="1"/>
                <c:pt idx="0">
                  <c:v>Rockin' Around the Christmas Tree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PresentAnalysis1.0!$G$81:$G$90</c:f>
              <c:numCache>
                <c:formatCode>0.00%</c:formatCode>
                <c:ptCount val="9"/>
                <c:pt idx="1">
                  <c:v>0.82470222779299551</c:v>
                </c:pt>
                <c:pt idx="2">
                  <c:v>0.70476443305234571</c:v>
                </c:pt>
                <c:pt idx="3">
                  <c:v>2.3159599954569585</c:v>
                </c:pt>
                <c:pt idx="4">
                  <c:v>2.0452745812802275</c:v>
                </c:pt>
                <c:pt idx="5">
                  <c:v>3.862752330195744</c:v>
                </c:pt>
                <c:pt idx="6">
                  <c:v>4.8792690287689418</c:v>
                </c:pt>
                <c:pt idx="7">
                  <c:v>5.2606799149300718</c:v>
                </c:pt>
                <c:pt idx="8">
                  <c:v>0.26880505249587533</c:v>
                </c:pt>
              </c:numCache>
            </c:numRef>
          </c:val>
          <c:smooth val="0"/>
          <c:extLst>
            <c:ext xmlns:c16="http://schemas.microsoft.com/office/drawing/2014/chart" uri="{C3380CC4-5D6E-409C-BE32-E72D297353CC}">
              <c16:uniqueId val="{00000021-D564-4D9B-81FD-924BFAB73A26}"/>
            </c:ext>
          </c:extLst>
        </c:ser>
        <c:ser>
          <c:idx val="6"/>
          <c:order val="6"/>
          <c:tx>
            <c:strRef>
              <c:f>PresentAnalysis1.0!$H$79:$H$80</c:f>
              <c:strCache>
                <c:ptCount val="1"/>
                <c:pt idx="0">
                  <c:v>Santa Tell Me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PresentAnalysis1.0!$A$81:$A$90</c:f>
              <c:strCache>
                <c:ptCount val="9"/>
                <c:pt idx="0">
                  <c:v>2017</c:v>
                </c:pt>
                <c:pt idx="1">
                  <c:v>2018</c:v>
                </c:pt>
                <c:pt idx="2">
                  <c:v>2019</c:v>
                </c:pt>
                <c:pt idx="3">
                  <c:v>2020</c:v>
                </c:pt>
                <c:pt idx="4">
                  <c:v>2021</c:v>
                </c:pt>
                <c:pt idx="5">
                  <c:v>2022</c:v>
                </c:pt>
                <c:pt idx="6">
                  <c:v>2023</c:v>
                </c:pt>
                <c:pt idx="7">
                  <c:v>2024</c:v>
                </c:pt>
                <c:pt idx="8">
                  <c:v>2025</c:v>
                </c:pt>
              </c:strCache>
            </c:strRef>
          </c:cat>
          <c:val>
            <c:numRef>
              <c:f>PresentAnalysis1.0!$H$81:$H$90</c:f>
              <c:numCache>
                <c:formatCode>0.00%</c:formatCode>
                <c:ptCount val="9"/>
                <c:pt idx="1">
                  <c:v>1.2054193278140741</c:v>
                </c:pt>
                <c:pt idx="2">
                  <c:v>1.1084791617370735</c:v>
                </c:pt>
                <c:pt idx="3">
                  <c:v>2.4388665170239858</c:v>
                </c:pt>
                <c:pt idx="4">
                  <c:v>1.624682496016125</c:v>
                </c:pt>
                <c:pt idx="5">
                  <c:v>2.3035845721699864</c:v>
                </c:pt>
                <c:pt idx="6">
                  <c:v>3.350500290065443</c:v>
                </c:pt>
                <c:pt idx="7">
                  <c:v>3.7576534728228097</c:v>
                </c:pt>
                <c:pt idx="8">
                  <c:v>-8.4119563564309149E-2</c:v>
                </c:pt>
              </c:numCache>
            </c:numRef>
          </c:val>
          <c:smooth val="0"/>
          <c:extLst>
            <c:ext xmlns:c16="http://schemas.microsoft.com/office/drawing/2014/chart" uri="{C3380CC4-5D6E-409C-BE32-E72D297353CC}">
              <c16:uniqueId val="{00000022-D564-4D9B-81FD-924BFAB73A26}"/>
            </c:ext>
          </c:extLst>
        </c:ser>
        <c:dLbls>
          <c:showLegendKey val="0"/>
          <c:showVal val="0"/>
          <c:showCatName val="0"/>
          <c:showSerName val="0"/>
          <c:showPercent val="0"/>
          <c:showBubbleSize val="0"/>
        </c:dLbls>
        <c:marker val="1"/>
        <c:smooth val="0"/>
        <c:axId val="1855937568"/>
        <c:axId val="1855938048"/>
      </c:lineChart>
      <c:catAx>
        <c:axId val="18559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8048"/>
        <c:crosses val="autoZero"/>
        <c:auto val="1"/>
        <c:lblAlgn val="ctr"/>
        <c:lblOffset val="100"/>
        <c:noMultiLvlLbl val="0"/>
      </c:catAx>
      <c:valAx>
        <c:axId val="185593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7568"/>
        <c:crosses val="autoZero"/>
        <c:crossBetween val="between"/>
      </c:valAx>
      <c:spPr>
        <a:noFill/>
        <a:ln>
          <a:noFill/>
        </a:ln>
        <a:effectLst/>
      </c:spPr>
    </c:plotArea>
    <c:legend>
      <c:legendPos val="r"/>
      <c:layout>
        <c:manualLayout>
          <c:xMode val="edge"/>
          <c:yMode val="edge"/>
          <c:x val="0.64266666234720582"/>
          <c:y val="0.23363427065461276"/>
          <c:w val="0.33333333333333331"/>
          <c:h val="0.63969247577615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[spotify_christmas_streams_kworb_2017_2025.xlsx]FutureAnalysis1.0!PivotTable9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Christmas</a:t>
            </a:r>
            <a:r>
              <a:rPr lang="en-US" b="1" baseline="0"/>
              <a:t> hits vs years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FutureAnalysis1.0!$B$19</c:f>
              <c:strCache>
                <c:ptCount val="1"/>
                <c:pt idx="0">
                  <c:v>Total</c:v>
                </c:pt>
              </c:strCache>
            </c:strRef>
          </c:tx>
          <c:spPr>
            <a:solidFill>
              <a:schemeClr val="accent1"/>
            </a:solidFill>
            <a:ln>
              <a:noFill/>
            </a:ln>
            <a:effectLst/>
            <a:sp3d/>
          </c:spPr>
          <c:invertIfNegative val="0"/>
          <c:cat>
            <c:strRef>
              <c:f>FutureAnalysis1.0!$A$20:$A$29</c:f>
              <c:strCache>
                <c:ptCount val="9"/>
                <c:pt idx="0">
                  <c:v>2017</c:v>
                </c:pt>
                <c:pt idx="1">
                  <c:v>2018</c:v>
                </c:pt>
                <c:pt idx="2">
                  <c:v>2019</c:v>
                </c:pt>
                <c:pt idx="3">
                  <c:v>2020</c:v>
                </c:pt>
                <c:pt idx="4">
                  <c:v>2021</c:v>
                </c:pt>
                <c:pt idx="5">
                  <c:v>2022</c:v>
                </c:pt>
                <c:pt idx="6">
                  <c:v>2023</c:v>
                </c:pt>
                <c:pt idx="7">
                  <c:v>2024</c:v>
                </c:pt>
                <c:pt idx="8">
                  <c:v>2025</c:v>
                </c:pt>
              </c:strCache>
            </c:strRef>
          </c:cat>
          <c:val>
            <c:numRef>
              <c:f>FutureAnalysis1.0!$B$20:$B$29</c:f>
              <c:numCache>
                <c:formatCode>General</c:formatCode>
                <c:ptCount val="9"/>
                <c:pt idx="0">
                  <c:v>359461696</c:v>
                </c:pt>
                <c:pt idx="1">
                  <c:v>595483091</c:v>
                </c:pt>
                <c:pt idx="2">
                  <c:v>610773167</c:v>
                </c:pt>
                <c:pt idx="3">
                  <c:v>1007560272</c:v>
                </c:pt>
                <c:pt idx="4">
                  <c:v>901269455</c:v>
                </c:pt>
                <c:pt idx="5">
                  <c:v>1222813294</c:v>
                </c:pt>
                <c:pt idx="6">
                  <c:v>1474219424</c:v>
                </c:pt>
                <c:pt idx="7">
                  <c:v>1560494532</c:v>
                </c:pt>
                <c:pt idx="8">
                  <c:v>310445852</c:v>
                </c:pt>
              </c:numCache>
            </c:numRef>
          </c:val>
          <c:extLst>
            <c:ext xmlns:c16="http://schemas.microsoft.com/office/drawing/2014/chart" uri="{C3380CC4-5D6E-409C-BE32-E72D297353CC}">
              <c16:uniqueId val="{00000000-8747-495A-8A19-E312E2301C19}"/>
            </c:ext>
          </c:extLst>
        </c:ser>
        <c:dLbls>
          <c:showLegendKey val="0"/>
          <c:showVal val="0"/>
          <c:showCatName val="0"/>
          <c:showSerName val="0"/>
          <c:showPercent val="0"/>
          <c:showBubbleSize val="0"/>
        </c:dLbls>
        <c:gapWidth val="150"/>
        <c:shape val="box"/>
        <c:axId val="1901101664"/>
        <c:axId val="1901105504"/>
        <c:axId val="110318640"/>
      </c:bar3DChart>
      <c:catAx>
        <c:axId val="19011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5504"/>
        <c:crosses val="autoZero"/>
        <c:auto val="1"/>
        <c:lblAlgn val="ctr"/>
        <c:lblOffset val="100"/>
        <c:noMultiLvlLbl val="0"/>
      </c:catAx>
      <c:valAx>
        <c:axId val="190110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1664"/>
        <c:crosses val="autoZero"/>
        <c:crossBetween val="between"/>
      </c:valAx>
      <c:serAx>
        <c:axId val="1103186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1105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Forecast</a:t>
            </a:r>
            <a:r>
              <a:rPr lang="en-GB" b="1" baseline="0"/>
              <a:t> for each streams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FutureAnalysis1.0!$B$5</c:f>
              <c:strCache>
                <c:ptCount val="1"/>
                <c:pt idx="0">
                  <c:v>All I Want for Christmas Is You</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FutureAnalysis1.0!$B$6:$B$13</c:f>
              <c:numCache>
                <c:formatCode>0</c:formatCode>
                <c:ptCount val="8"/>
                <c:pt idx="0">
                  <c:v>113885078</c:v>
                </c:pt>
                <c:pt idx="1">
                  <c:v>143762983</c:v>
                </c:pt>
                <c:pt idx="2">
                  <c:v>151935700</c:v>
                </c:pt>
                <c:pt idx="3">
                  <c:v>216648507</c:v>
                </c:pt>
                <c:pt idx="4">
                  <c:v>195881183</c:v>
                </c:pt>
                <c:pt idx="5">
                  <c:v>252046081</c:v>
                </c:pt>
                <c:pt idx="6">
                  <c:v>306637387</c:v>
                </c:pt>
                <c:pt idx="7">
                  <c:v>312127332</c:v>
                </c:pt>
              </c:numCache>
            </c:numRef>
          </c:val>
          <c:smooth val="0"/>
          <c:extLst>
            <c:ext xmlns:c16="http://schemas.microsoft.com/office/drawing/2014/chart" uri="{C3380CC4-5D6E-409C-BE32-E72D297353CC}">
              <c16:uniqueId val="{00000001-A652-450F-A89B-0D60BC271060}"/>
            </c:ext>
          </c:extLst>
        </c:ser>
        <c:ser>
          <c:idx val="1"/>
          <c:order val="1"/>
          <c:tx>
            <c:strRef>
              <c:f>FutureAnalysis1.0!$C$5</c:f>
              <c:strCache>
                <c:ptCount val="1"/>
                <c:pt idx="0">
                  <c:v>Feliz Navidad</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FutureAnalysis1.0!$C$6:$C$13</c:f>
              <c:numCache>
                <c:formatCode>0</c:formatCode>
                <c:ptCount val="8"/>
                <c:pt idx="0">
                  <c:v>25543547</c:v>
                </c:pt>
                <c:pt idx="1">
                  <c:v>36691887</c:v>
                </c:pt>
                <c:pt idx="2">
                  <c:v>46795076</c:v>
                </c:pt>
                <c:pt idx="3">
                  <c:v>80509419</c:v>
                </c:pt>
                <c:pt idx="4">
                  <c:v>80259967</c:v>
                </c:pt>
                <c:pt idx="5">
                  <c:v>108289313</c:v>
                </c:pt>
                <c:pt idx="6">
                  <c:v>117952333</c:v>
                </c:pt>
                <c:pt idx="7">
                  <c:v>126984207</c:v>
                </c:pt>
              </c:numCache>
            </c:numRef>
          </c:val>
          <c:smooth val="0"/>
          <c:extLst>
            <c:ext xmlns:c16="http://schemas.microsoft.com/office/drawing/2014/chart" uri="{C3380CC4-5D6E-409C-BE32-E72D297353CC}">
              <c16:uniqueId val="{00000003-A652-450F-A89B-0D60BC271060}"/>
            </c:ext>
          </c:extLst>
        </c:ser>
        <c:ser>
          <c:idx val="2"/>
          <c:order val="2"/>
          <c:tx>
            <c:strRef>
              <c:f>FutureAnalysis1.0!$D$5</c:f>
              <c:strCache>
                <c:ptCount val="1"/>
                <c:pt idx="0">
                  <c:v>It's Beginning to Look a Lot Like Christmas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2"/>
            <c:dispRSqr val="0"/>
            <c:dispEq val="0"/>
          </c:trendline>
          <c:trendline>
            <c:spPr>
              <a:ln w="19050" cap="rnd">
                <a:solidFill>
                  <a:schemeClr val="accent3"/>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FutureAnalysis1.0!$D$6:$D$13</c:f>
              <c:numCache>
                <c:formatCode>0</c:formatCode>
                <c:ptCount val="8"/>
                <c:pt idx="0">
                  <c:v>45359923</c:v>
                </c:pt>
                <c:pt idx="1">
                  <c:v>78724826</c:v>
                </c:pt>
                <c:pt idx="2">
                  <c:v>72808277</c:v>
                </c:pt>
                <c:pt idx="3">
                  <c:v>131811803</c:v>
                </c:pt>
                <c:pt idx="4">
                  <c:v>118260877</c:v>
                </c:pt>
                <c:pt idx="5">
                  <c:v>152308677</c:v>
                </c:pt>
                <c:pt idx="6">
                  <c:v>161195375</c:v>
                </c:pt>
                <c:pt idx="7">
                  <c:v>144672493</c:v>
                </c:pt>
              </c:numCache>
            </c:numRef>
          </c:val>
          <c:smooth val="0"/>
          <c:extLst>
            <c:ext xmlns:c16="http://schemas.microsoft.com/office/drawing/2014/chart" uri="{C3380CC4-5D6E-409C-BE32-E72D297353CC}">
              <c16:uniqueId val="{00000006-A652-450F-A89B-0D60BC271060}"/>
            </c:ext>
          </c:extLst>
        </c:ser>
        <c:ser>
          <c:idx val="3"/>
          <c:order val="3"/>
          <c:tx>
            <c:strRef>
              <c:f>FutureAnalysis1.0!$E$5</c:f>
              <c:strCache>
                <c:ptCount val="1"/>
                <c:pt idx="0">
                  <c:v>Jingle Bell Rock</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FutureAnalysis1.0!$E$6:$E$13</c:f>
              <c:numCache>
                <c:formatCode>0</c:formatCode>
                <c:ptCount val="8"/>
                <c:pt idx="0">
                  <c:v>16251595</c:v>
                </c:pt>
                <c:pt idx="1">
                  <c:v>69704599</c:v>
                </c:pt>
                <c:pt idx="2">
                  <c:v>67909290</c:v>
                </c:pt>
                <c:pt idx="3">
                  <c:v>127475378</c:v>
                </c:pt>
                <c:pt idx="4">
                  <c:v>120257604</c:v>
                </c:pt>
                <c:pt idx="5">
                  <c:v>172205826</c:v>
                </c:pt>
                <c:pt idx="6">
                  <c:v>195129912</c:v>
                </c:pt>
                <c:pt idx="7">
                  <c:v>221784411</c:v>
                </c:pt>
              </c:numCache>
            </c:numRef>
          </c:val>
          <c:smooth val="0"/>
          <c:extLst>
            <c:ext xmlns:c16="http://schemas.microsoft.com/office/drawing/2014/chart" uri="{C3380CC4-5D6E-409C-BE32-E72D297353CC}">
              <c16:uniqueId val="{00000008-A652-450F-A89B-0D60BC271060}"/>
            </c:ext>
          </c:extLst>
        </c:ser>
        <c:ser>
          <c:idx val="4"/>
          <c:order val="4"/>
          <c:tx>
            <c:strRef>
              <c:f>FutureAnalysis1.0!$F$5</c:f>
              <c:strCache>
                <c:ptCount val="1"/>
                <c:pt idx="0">
                  <c:v>Last Christmas</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linear"/>
            <c:forward val="2"/>
            <c:dispRSqr val="0"/>
            <c:dispEq val="0"/>
          </c:trendline>
          <c:trendline>
            <c:spPr>
              <a:ln w="19050" cap="rnd">
                <a:solidFill>
                  <a:schemeClr val="accent5"/>
                </a:solidFill>
                <a:prstDash val="sysDot"/>
              </a:ln>
              <a:effectLst/>
            </c:spPr>
            <c:trendlineType val="linear"/>
            <c:forward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FutureAnalysis1.0!$F$6:$F$13</c:f>
              <c:numCache>
                <c:formatCode>0</c:formatCode>
                <c:ptCount val="8"/>
                <c:pt idx="0">
                  <c:v>77521681</c:v>
                </c:pt>
                <c:pt idx="1">
                  <c:v>103362271</c:v>
                </c:pt>
                <c:pt idx="2">
                  <c:v>116847808</c:v>
                </c:pt>
                <c:pt idx="3">
                  <c:v>177812370</c:v>
                </c:pt>
                <c:pt idx="4">
                  <c:v>157501660</c:v>
                </c:pt>
                <c:pt idx="5">
                  <c:v>208529876</c:v>
                </c:pt>
                <c:pt idx="6">
                  <c:v>280387751</c:v>
                </c:pt>
                <c:pt idx="7">
                  <c:v>310097292</c:v>
                </c:pt>
              </c:numCache>
            </c:numRef>
          </c:val>
          <c:smooth val="0"/>
          <c:extLst>
            <c:ext xmlns:c16="http://schemas.microsoft.com/office/drawing/2014/chart" uri="{C3380CC4-5D6E-409C-BE32-E72D297353CC}">
              <c16:uniqueId val="{0000000B-A652-450F-A89B-0D60BC271060}"/>
            </c:ext>
          </c:extLst>
        </c:ser>
        <c:ser>
          <c:idx val="5"/>
          <c:order val="5"/>
          <c:tx>
            <c:strRef>
              <c:f>FutureAnalysis1.0!$G$5</c:f>
              <c:strCache>
                <c:ptCount val="1"/>
                <c:pt idx="0">
                  <c:v>Rockin' Around the Christmas Tree</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FutureAnalysis1.0!$G$6:$G$13</c:f>
              <c:numCache>
                <c:formatCode>0</c:formatCode>
                <c:ptCount val="8"/>
                <c:pt idx="0">
                  <c:v>39876371</c:v>
                </c:pt>
                <c:pt idx="1">
                  <c:v>72762503</c:v>
                </c:pt>
                <c:pt idx="2">
                  <c:v>67979819</c:v>
                </c:pt>
                <c:pt idx="3">
                  <c:v>132228451</c:v>
                </c:pt>
                <c:pt idx="4">
                  <c:v>121434499</c:v>
                </c:pt>
                <c:pt idx="5">
                  <c:v>193908916</c:v>
                </c:pt>
                <c:pt idx="6">
                  <c:v>234443913</c:v>
                </c:pt>
                <c:pt idx="7">
                  <c:v>249653195</c:v>
                </c:pt>
              </c:numCache>
            </c:numRef>
          </c:val>
          <c:smooth val="0"/>
          <c:extLst>
            <c:ext xmlns:c16="http://schemas.microsoft.com/office/drawing/2014/chart" uri="{C3380CC4-5D6E-409C-BE32-E72D297353CC}">
              <c16:uniqueId val="{0000000D-A652-450F-A89B-0D60BC271060}"/>
            </c:ext>
          </c:extLst>
        </c:ser>
        <c:ser>
          <c:idx val="6"/>
          <c:order val="6"/>
          <c:tx>
            <c:strRef>
              <c:f>FutureAnalysis1.0!$H$5</c:f>
              <c:strCache>
                <c:ptCount val="1"/>
                <c:pt idx="0">
                  <c:v>Santa Tell Me</c:v>
                </c:pt>
              </c:strCache>
            </c:strRef>
          </c:tx>
          <c:spPr>
            <a:ln w="28575" cap="rnd">
              <a:solidFill>
                <a:schemeClr val="accent1">
                  <a:lumMod val="60000"/>
                </a:schemeClr>
              </a:solidFill>
              <a:round/>
            </a:ln>
            <a:effectLst/>
          </c:spPr>
          <c:marker>
            <c:symbol val="none"/>
          </c:marker>
          <c:trendline>
            <c:spPr>
              <a:ln w="19050" cap="rnd">
                <a:solidFill>
                  <a:schemeClr val="accent1">
                    <a:lumMod val="60000"/>
                  </a:schemeClr>
                </a:solidFill>
                <a:prstDash val="sysDot"/>
              </a:ln>
              <a:effectLst/>
            </c:spPr>
            <c:trendlineType val="linear"/>
            <c:forward val="2"/>
            <c:dispRSqr val="0"/>
            <c:dispEq val="0"/>
          </c:trendline>
          <c:cat>
            <c:numRef>
              <c:f>FutureAnalysis1.0!$A$6:$A$13</c:f>
              <c:numCache>
                <c:formatCode>General</c:formatCode>
                <c:ptCount val="8"/>
                <c:pt idx="0">
                  <c:v>2017</c:v>
                </c:pt>
                <c:pt idx="1">
                  <c:v>2018</c:v>
                </c:pt>
                <c:pt idx="2">
                  <c:v>2019</c:v>
                </c:pt>
                <c:pt idx="3">
                  <c:v>2020</c:v>
                </c:pt>
                <c:pt idx="4">
                  <c:v>2021</c:v>
                </c:pt>
                <c:pt idx="5">
                  <c:v>2022</c:v>
                </c:pt>
                <c:pt idx="6">
                  <c:v>2023</c:v>
                </c:pt>
                <c:pt idx="7">
                  <c:v>2024</c:v>
                </c:pt>
              </c:numCache>
            </c:numRef>
          </c:cat>
          <c:val>
            <c:numRef>
              <c:f>FutureAnalysis1.0!$H$6:$H$13</c:f>
              <c:numCache>
                <c:formatCode>0</c:formatCode>
                <c:ptCount val="8"/>
                <c:pt idx="0">
                  <c:v>41023501</c:v>
                </c:pt>
                <c:pt idx="1">
                  <c:v>90474022</c:v>
                </c:pt>
                <c:pt idx="2">
                  <c:v>86497197</c:v>
                </c:pt>
                <c:pt idx="3">
                  <c:v>141074344</c:v>
                </c:pt>
                <c:pt idx="4">
                  <c:v>107673665</c:v>
                </c:pt>
                <c:pt idx="5">
                  <c:v>135524605</c:v>
                </c:pt>
                <c:pt idx="6">
                  <c:v>178472753</c:v>
                </c:pt>
                <c:pt idx="7">
                  <c:v>195175602</c:v>
                </c:pt>
              </c:numCache>
            </c:numRef>
          </c:val>
          <c:smooth val="0"/>
          <c:extLst>
            <c:ext xmlns:c16="http://schemas.microsoft.com/office/drawing/2014/chart" uri="{C3380CC4-5D6E-409C-BE32-E72D297353CC}">
              <c16:uniqueId val="{0000000F-A652-450F-A89B-0D60BC271060}"/>
            </c:ext>
          </c:extLst>
        </c:ser>
        <c:dLbls>
          <c:showLegendKey val="0"/>
          <c:showVal val="0"/>
          <c:showCatName val="0"/>
          <c:showSerName val="0"/>
          <c:showPercent val="0"/>
          <c:showBubbleSize val="0"/>
        </c:dLbls>
        <c:smooth val="0"/>
        <c:axId val="1855935168"/>
        <c:axId val="1855942368"/>
      </c:lineChart>
      <c:catAx>
        <c:axId val="1855935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42368"/>
        <c:crosses val="autoZero"/>
        <c:auto val="1"/>
        <c:lblAlgn val="ctr"/>
        <c:lblOffset val="100"/>
        <c:noMultiLvlLbl val="0"/>
      </c:catAx>
      <c:valAx>
        <c:axId val="18559423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593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6.xml"/><Relationship Id="rId18" Type="http://schemas.openxmlformats.org/officeDocument/2006/relationships/chart" Target="../charts/chart21.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10.jpg"/><Relationship Id="rId17" Type="http://schemas.openxmlformats.org/officeDocument/2006/relationships/chart" Target="../charts/chart20.xml"/><Relationship Id="rId2" Type="http://schemas.openxmlformats.org/officeDocument/2006/relationships/image" Target="../media/image1.png"/><Relationship Id="rId16" Type="http://schemas.openxmlformats.org/officeDocument/2006/relationships/chart" Target="../charts/chart19.xml"/><Relationship Id="rId1" Type="http://schemas.openxmlformats.org/officeDocument/2006/relationships/chart" Target="../charts/chart14.xml"/><Relationship Id="rId6" Type="http://schemas.openxmlformats.org/officeDocument/2006/relationships/image" Target="../media/image5.png"/><Relationship Id="rId11" Type="http://schemas.openxmlformats.org/officeDocument/2006/relationships/image" Target="../media/image9.jpg"/><Relationship Id="rId5" Type="http://schemas.openxmlformats.org/officeDocument/2006/relationships/image" Target="../media/image4.svg"/><Relationship Id="rId15" Type="http://schemas.openxmlformats.org/officeDocument/2006/relationships/chart" Target="../charts/chart18.xml"/><Relationship Id="rId10" Type="http://schemas.openxmlformats.org/officeDocument/2006/relationships/chart" Target="../charts/chart15.xml"/><Relationship Id="rId19" Type="http://schemas.openxmlformats.org/officeDocument/2006/relationships/chart" Target="../charts/chart22.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16</xdr:col>
      <xdr:colOff>355600</xdr:colOff>
      <xdr:row>22</xdr:row>
      <xdr:rowOff>95250</xdr:rowOff>
    </xdr:to>
    <xdr:sp macro="" textlink="">
      <xdr:nvSpPr>
        <xdr:cNvPr id="3" name="TextBox 2">
          <a:extLst>
            <a:ext uri="{FF2B5EF4-FFF2-40B4-BE49-F238E27FC236}">
              <a16:creationId xmlns:a16="http://schemas.microsoft.com/office/drawing/2014/main" id="{0692CAFD-1DA6-4BC8-9D6C-9413BB52620F}"/>
            </a:ext>
          </a:extLst>
        </xdr:cNvPr>
        <xdr:cNvSpPr txBox="1"/>
      </xdr:nvSpPr>
      <xdr:spPr>
        <a:xfrm>
          <a:off x="609600" y="184151"/>
          <a:ext cx="9499600" cy="3962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NAME</a:t>
          </a:r>
          <a:r>
            <a:rPr lang="en-US" sz="1100" b="1" baseline="0"/>
            <a:t> OF STUDENT</a:t>
          </a:r>
          <a:r>
            <a:rPr lang="en-US" sz="1100" baseline="0"/>
            <a:t>: </a:t>
          </a:r>
          <a:r>
            <a:rPr lang="en-US" sz="1100" baseline="0">
              <a:solidFill>
                <a:schemeClr val="dk1"/>
              </a:solidFill>
              <a:effectLst/>
              <a:latin typeface="+mn-lt"/>
              <a:ea typeface="+mn-ea"/>
              <a:cs typeface="+mn-cs"/>
            </a:rPr>
            <a:t>Adanna Sylvia Eze</a:t>
          </a:r>
          <a:endParaRPr lang="en-US" sz="1100" baseline="0"/>
        </a:p>
        <a:p>
          <a:r>
            <a:rPr lang="en-US" sz="1100" b="1" baseline="0"/>
            <a:t>PROJECT TOPIC</a:t>
          </a:r>
          <a:r>
            <a:rPr lang="en-US" sz="1100" baseline="0"/>
            <a:t>: </a:t>
          </a:r>
          <a:r>
            <a:rPr lang="en-US" sz="1100" baseline="0">
              <a:solidFill>
                <a:schemeClr val="dk1"/>
              </a:solidFill>
              <a:effectLst/>
              <a:latin typeface="+mn-lt"/>
              <a:ea typeface="+mn-ea"/>
              <a:cs typeface="+mn-cs"/>
            </a:rPr>
            <a:t>Christmas spotify list</a:t>
          </a:r>
          <a:endParaRPr lang="en-US" sz="1100" baseline="0"/>
        </a:p>
        <a:p>
          <a:r>
            <a:rPr lang="en-US" sz="1100" b="1" baseline="0"/>
            <a:t>INTRODUCTION</a:t>
          </a:r>
          <a:r>
            <a:rPr lang="en-US" sz="1100" baseline="0"/>
            <a:t>: </a:t>
          </a:r>
          <a:r>
            <a:rPr lang="en-GB"/>
            <a:t>This study aims to provide a clear, data-driven analysis of the </a:t>
          </a:r>
          <a:r>
            <a:rPr lang="en-GB" b="1"/>
            <a:t>Spotify Christmas charts</a:t>
          </a:r>
          <a:r>
            <a:rPr lang="en-GB"/>
            <a:t> to support fair, evidence-based conclusions and informed decision-making. Using </a:t>
          </a:r>
          <a:r>
            <a:rPr lang="en-GB" b="1"/>
            <a:t>Power BI and Microsoft Excel</a:t>
          </a:r>
          <a:r>
            <a:rPr lang="en-GB"/>
            <a:t>—including tools such as </a:t>
          </a:r>
          <a:r>
            <a:rPr lang="en-GB" b="1"/>
            <a:t>Pivot Tables, charts, and correlation analysis</a:t>
          </a:r>
          <a:r>
            <a:rPr lang="en-GB"/>
            <a:t>—the study uncovers key patterns in the streaming performance of </a:t>
          </a:r>
          <a:r>
            <a:rPr lang="en-GB" b="1"/>
            <a:t>seven major Christmas hits</a:t>
          </a:r>
          <a:r>
            <a:rPr lang="en-GB"/>
            <a:t> over a seven-year period.</a:t>
          </a:r>
        </a:p>
        <a:p>
          <a:r>
            <a:rPr lang="en-GB"/>
            <a:t>The analysis focuses on how streaming behavior evolves from </a:t>
          </a:r>
          <a:r>
            <a:rPr lang="en-GB" b="1"/>
            <a:t>week 45 through the New Year</a:t>
          </a:r>
          <a:r>
            <a:rPr lang="en-GB"/>
            <a:t>, highlighting the role of </a:t>
          </a:r>
          <a:r>
            <a:rPr lang="en-GB" b="1"/>
            <a:t>time and week-of-year effects</a:t>
          </a:r>
          <a:r>
            <a:rPr lang="en-GB"/>
            <a:t> in shaping the distribution and intensity of Christmas music streams.</a:t>
          </a:r>
          <a:endParaRPr lang="en-US" sz="1100" baseline="0"/>
        </a:p>
        <a:p>
          <a:endParaRPr lang="en-US" sz="1100" baseline="0"/>
        </a:p>
        <a:p>
          <a:r>
            <a:rPr lang="en-US" sz="1100" b="1" baseline="0"/>
            <a:t>RESEARCH QUESTIONS (PRESENT)</a:t>
          </a:r>
          <a:r>
            <a:rPr lang="en-US" sz="1100" baseline="0"/>
            <a:t>:</a:t>
          </a:r>
        </a:p>
        <a:p>
          <a:r>
            <a:rPr lang="en-US" sz="1100" baseline="0"/>
            <a:t>1.</a:t>
          </a:r>
          <a:r>
            <a:rPr lang="en-GB"/>
            <a:t>How do each Christmas song streams change from mid-November to Christmas?</a:t>
          </a:r>
        </a:p>
        <a:p>
          <a:r>
            <a:rPr lang="en-GB" sz="1100" baseline="0"/>
            <a:t>2. </a:t>
          </a:r>
          <a:r>
            <a:rPr lang="en-GB"/>
            <a:t>Which Christmas songs are the most streamed across all years?</a:t>
          </a:r>
        </a:p>
        <a:p>
          <a:r>
            <a:rPr lang="en-GB" sz="1100" baseline="0"/>
            <a:t>3. </a:t>
          </a:r>
          <a:r>
            <a:rPr lang="en-GB"/>
            <a:t>Do some artists consistently outperform others each Christmas season?</a:t>
          </a:r>
        </a:p>
        <a:p>
          <a:r>
            <a:rPr lang="en-GB" sz="1100" baseline="0"/>
            <a:t>4. </a:t>
          </a:r>
          <a:r>
            <a:rPr lang="en-GB"/>
            <a:t>Which weeks of the year have the highest Christmas streaming activity?</a:t>
          </a:r>
        </a:p>
        <a:p>
          <a:r>
            <a:rPr lang="en-GB" sz="1100" baseline="0"/>
            <a:t>5. </a:t>
          </a:r>
          <a:r>
            <a:rPr lang="en-GB"/>
            <a:t>How fast do streams grow as Christmas approaches?</a:t>
          </a:r>
        </a:p>
        <a:p>
          <a:r>
            <a:rPr lang="en-GB" sz="1100" baseline="0"/>
            <a:t>6. </a:t>
          </a:r>
          <a:r>
            <a:rPr lang="en-GB"/>
            <a:t>Which Christmas songs are rising or declining over the years?</a:t>
          </a:r>
        </a:p>
        <a:p>
          <a:endParaRPr lang="en-GB"/>
        </a:p>
        <a:p>
          <a:r>
            <a:rPr lang="en-GB" b="1"/>
            <a:t>PREDICTION QUESTIONS</a:t>
          </a:r>
          <a:r>
            <a:rPr lang="en-GB" b="1" baseline="0"/>
            <a:t> (FUTURE):</a:t>
          </a:r>
          <a:endParaRPr lang="en-GB" b="1"/>
        </a:p>
        <a:p>
          <a:r>
            <a:rPr lang="en-GB" sz="1100" baseline="0"/>
            <a:t>7. Predict the growth of these christmas streams over the next two years individually and as a group</a:t>
          </a:r>
        </a:p>
        <a:p>
          <a:r>
            <a:rPr lang="en-GB" sz="1100" baseline="0"/>
            <a:t>8. Are there any exceptions or anomalies that affect future data</a:t>
          </a:r>
        </a:p>
        <a:p>
          <a:r>
            <a:rPr lang="en-GB" sz="1100" baseline="0"/>
            <a:t>9. If a new christmas hit was released today, will it do better than older hits?</a:t>
          </a:r>
        </a:p>
        <a:p>
          <a:r>
            <a:rPr lang="en-GB" sz="1100" baseline="0"/>
            <a:t>10. Is it possible to use if analysis to predict which artists would be big and why </a:t>
          </a:r>
        </a:p>
        <a:p>
          <a:endParaRPr lang="en-GB" sz="1100" baseline="0"/>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998104</xdr:colOff>
      <xdr:row>2</xdr:row>
      <xdr:rowOff>65974</xdr:rowOff>
    </xdr:from>
    <xdr:to>
      <xdr:col>18</xdr:col>
      <xdr:colOff>37193</xdr:colOff>
      <xdr:row>17</xdr:row>
      <xdr:rowOff>49645</xdr:rowOff>
    </xdr:to>
    <xdr:graphicFrame macro="">
      <xdr:nvGraphicFramePr>
        <xdr:cNvPr id="2" name="Chart 1">
          <a:extLst>
            <a:ext uri="{FF2B5EF4-FFF2-40B4-BE49-F238E27FC236}">
              <a16:creationId xmlns:a16="http://schemas.microsoft.com/office/drawing/2014/main" id="{362DD728-41AF-05A3-AB82-0DD6C010C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479425</xdr:colOff>
      <xdr:row>166</xdr:row>
      <xdr:rowOff>57150</xdr:rowOff>
    </xdr:from>
    <xdr:to>
      <xdr:col>11</xdr:col>
      <xdr:colOff>657225</xdr:colOff>
      <xdr:row>181</xdr:row>
      <xdr:rowOff>38100</xdr:rowOff>
    </xdr:to>
    <xdr:graphicFrame macro="">
      <xdr:nvGraphicFramePr>
        <xdr:cNvPr id="12" name="Chart 11">
          <a:extLst>
            <a:ext uri="{FF2B5EF4-FFF2-40B4-BE49-F238E27FC236}">
              <a16:creationId xmlns:a16="http://schemas.microsoft.com/office/drawing/2014/main" id="{B263394F-5453-34BA-4CCA-54B3C21AE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171532</xdr:colOff>
      <xdr:row>25</xdr:row>
      <xdr:rowOff>63334</xdr:rowOff>
    </xdr:from>
    <xdr:to>
      <xdr:col>14</xdr:col>
      <xdr:colOff>793337</xdr:colOff>
      <xdr:row>40</xdr:row>
      <xdr:rowOff>85105</xdr:rowOff>
    </xdr:to>
    <xdr:graphicFrame macro="">
      <xdr:nvGraphicFramePr>
        <xdr:cNvPr id="9" name="Chart 8">
          <a:extLst>
            <a:ext uri="{FF2B5EF4-FFF2-40B4-BE49-F238E27FC236}">
              <a16:creationId xmlns:a16="http://schemas.microsoft.com/office/drawing/2014/main" id="{2F79BE64-2695-833F-597B-BEBFEF8CA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311727</xdr:colOff>
      <xdr:row>12</xdr:row>
      <xdr:rowOff>13854</xdr:rowOff>
    </xdr:from>
    <xdr:to>
      <xdr:col>9</xdr:col>
      <xdr:colOff>669636</xdr:colOff>
      <xdr:row>27</xdr:row>
      <xdr:rowOff>35626</xdr:rowOff>
    </xdr:to>
    <xdr:graphicFrame macro="">
      <xdr:nvGraphicFramePr>
        <xdr:cNvPr id="10" name="Chart 9">
          <a:extLst>
            <a:ext uri="{FF2B5EF4-FFF2-40B4-BE49-F238E27FC236}">
              <a16:creationId xmlns:a16="http://schemas.microsoft.com/office/drawing/2014/main" id="{F0C387D7-F465-B408-CFF3-4E8B6004C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221013</xdr:colOff>
      <xdr:row>42</xdr:row>
      <xdr:rowOff>30348</xdr:rowOff>
    </xdr:from>
    <xdr:to>
      <xdr:col>9</xdr:col>
      <xdr:colOff>578922</xdr:colOff>
      <xdr:row>57</xdr:row>
      <xdr:rowOff>52119</xdr:rowOff>
    </xdr:to>
    <xdr:graphicFrame macro="">
      <xdr:nvGraphicFramePr>
        <xdr:cNvPr id="13" name="Chart 12">
          <a:extLst>
            <a:ext uri="{FF2B5EF4-FFF2-40B4-BE49-F238E27FC236}">
              <a16:creationId xmlns:a16="http://schemas.microsoft.com/office/drawing/2014/main" id="{B0D6CE38-A59C-AA4C-3C9D-7A99F001F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381825</xdr:colOff>
      <xdr:row>60</xdr:row>
      <xdr:rowOff>13855</xdr:rowOff>
    </xdr:from>
    <xdr:to>
      <xdr:col>7</xdr:col>
      <xdr:colOff>244929</xdr:colOff>
      <xdr:row>75</xdr:row>
      <xdr:rowOff>35626</xdr:rowOff>
    </xdr:to>
    <xdr:graphicFrame macro="">
      <xdr:nvGraphicFramePr>
        <xdr:cNvPr id="15" name="Chart 14">
          <a:extLst>
            <a:ext uri="{FF2B5EF4-FFF2-40B4-BE49-F238E27FC236}">
              <a16:creationId xmlns:a16="http://schemas.microsoft.com/office/drawing/2014/main" id="{22319A0F-B81B-37F8-2995-61D7E4D0E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583870</xdr:colOff>
      <xdr:row>78</xdr:row>
      <xdr:rowOff>46841</xdr:rowOff>
    </xdr:from>
    <xdr:to>
      <xdr:col>14</xdr:col>
      <xdr:colOff>282039</xdr:colOff>
      <xdr:row>93</xdr:row>
      <xdr:rowOff>68613</xdr:rowOff>
    </xdr:to>
    <xdr:graphicFrame macro="">
      <xdr:nvGraphicFramePr>
        <xdr:cNvPr id="16" name="Chart 15">
          <a:extLst>
            <a:ext uri="{FF2B5EF4-FFF2-40B4-BE49-F238E27FC236}">
              <a16:creationId xmlns:a16="http://schemas.microsoft.com/office/drawing/2014/main" id="{A6E70060-6166-2266-F808-F50E2293B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45</xdr:row>
      <xdr:rowOff>87311</xdr:rowOff>
    </xdr:from>
    <xdr:to>
      <xdr:col>12</xdr:col>
      <xdr:colOff>436562</xdr:colOff>
      <xdr:row>55</xdr:row>
      <xdr:rowOff>23812</xdr:rowOff>
    </xdr:to>
    <xdr:sp macro="" textlink="">
      <xdr:nvSpPr>
        <xdr:cNvPr id="6" name="TextBox 5">
          <a:extLst>
            <a:ext uri="{FF2B5EF4-FFF2-40B4-BE49-F238E27FC236}">
              <a16:creationId xmlns:a16="http://schemas.microsoft.com/office/drawing/2014/main" id="{7A2CB383-2C3F-49CF-B77F-790D0BF0C0B5}"/>
            </a:ext>
          </a:extLst>
        </xdr:cNvPr>
        <xdr:cNvSpPr txBox="1"/>
      </xdr:nvSpPr>
      <xdr:spPr>
        <a:xfrm>
          <a:off x="0" y="8302624"/>
          <a:ext cx="12620625" cy="1762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This means that if an artist’s </a:t>
          </a:r>
          <a:r>
            <a:rPr lang="en-GB" b="1"/>
            <a:t>average weekly streams</a:t>
          </a:r>
          <a:r>
            <a:rPr lang="en-GB"/>
            <a:t> surpass the overall </a:t>
          </a:r>
          <a:r>
            <a:rPr lang="en-GB" b="1"/>
            <a:t>average popularity benchmark of 21,389,683 streams in table</a:t>
          </a:r>
          <a:r>
            <a:rPr lang="en-GB"/>
            <a:t>, then that artist has already become more popular than the typical Christmas song by that point in the season. In that case, the ranking would be on column E based on numbers. Also when it falls under the number,</a:t>
          </a:r>
          <a:r>
            <a:rPr lang="en-GB" baseline="0"/>
            <a:t> </a:t>
          </a:r>
          <a:r>
            <a:rPr lang="en-GB"/>
            <a:t>this indicates that their streams peak later in the season and</a:t>
          </a:r>
          <a:r>
            <a:rPr lang="en-GB" baseline="0"/>
            <a:t> is not too popular</a:t>
          </a:r>
          <a:r>
            <a:rPr lang="en-GB"/>
            <a:t>. </a:t>
          </a:r>
        </a:p>
        <a:p>
          <a:endParaRPr lang="en-GB"/>
        </a:p>
        <a:p>
          <a:r>
            <a:rPr lang="en-GB"/>
            <a:t>Secondly,</a:t>
          </a:r>
          <a:r>
            <a:rPr lang="en-GB" baseline="0"/>
            <a:t> the same can be said for average week but I did an IF analysis to determine most streams, least streams and less streams. . This is because if you do the ranking Ariana Grande tops Bobby Helms but if you compare it to streams, Bobby Helms has a higher streams meaning Ariana Grande has a higher start, but eventually Bobby Helms catches up and tops. </a:t>
          </a:r>
          <a:r>
            <a:rPr lang="en-GB" sz="1100" baseline="0">
              <a:solidFill>
                <a:schemeClr val="dk1"/>
              </a:solidFill>
              <a:effectLst/>
              <a:latin typeface="+mn-lt"/>
              <a:ea typeface="+mn-ea"/>
              <a:cs typeface="+mn-cs"/>
            </a:rPr>
            <a:t>Also the 49.5  value in the if analysis is got from average of all the weeks and 49 is just a lower benchmark because 49.3 is the average week for a christmas song to top so 49.3 - 49 = 0.3 and 0.25 + 0.25 = 0.5, so 0.5 + 49 = 49.5 , which helps for more filtration in the IF analysis. </a:t>
          </a:r>
          <a:endParaRPr lang="en-GB"/>
        </a:p>
      </xdr:txBody>
    </xdr:sp>
    <xdr:clientData/>
  </xdr:twoCellAnchor>
  <xdr:twoCellAnchor>
    <xdr:from>
      <xdr:col>2</xdr:col>
      <xdr:colOff>615156</xdr:colOff>
      <xdr:row>69</xdr:row>
      <xdr:rowOff>37304</xdr:rowOff>
    </xdr:from>
    <xdr:to>
      <xdr:col>8</xdr:col>
      <xdr:colOff>761999</xdr:colOff>
      <xdr:row>84</xdr:row>
      <xdr:rowOff>42067</xdr:rowOff>
    </xdr:to>
    <xdr:graphicFrame macro="">
      <xdr:nvGraphicFramePr>
        <xdr:cNvPr id="8" name="Chart 7">
          <a:extLst>
            <a:ext uri="{FF2B5EF4-FFF2-40B4-BE49-F238E27FC236}">
              <a16:creationId xmlns:a16="http://schemas.microsoft.com/office/drawing/2014/main" id="{E353789C-B338-9E25-F09B-AF6795ACB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623093</xdr:colOff>
      <xdr:row>85</xdr:row>
      <xdr:rowOff>5555</xdr:rowOff>
    </xdr:from>
    <xdr:to>
      <xdr:col>8</xdr:col>
      <xdr:colOff>777875</xdr:colOff>
      <xdr:row>100</xdr:row>
      <xdr:rowOff>10318</xdr:rowOff>
    </xdr:to>
    <xdr:graphicFrame macro="">
      <xdr:nvGraphicFramePr>
        <xdr:cNvPr id="9" name="Chart 8">
          <a:extLst>
            <a:ext uri="{FF2B5EF4-FFF2-40B4-BE49-F238E27FC236}">
              <a16:creationId xmlns:a16="http://schemas.microsoft.com/office/drawing/2014/main" id="{42F22B4A-2EC5-7E80-F219-0A8BED0AD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591342</xdr:colOff>
      <xdr:row>101</xdr:row>
      <xdr:rowOff>92869</xdr:rowOff>
    </xdr:from>
    <xdr:to>
      <xdr:col>8</xdr:col>
      <xdr:colOff>777875</xdr:colOff>
      <xdr:row>116</xdr:row>
      <xdr:rowOff>97632</xdr:rowOff>
    </xdr:to>
    <xdr:graphicFrame macro="">
      <xdr:nvGraphicFramePr>
        <xdr:cNvPr id="10" name="Chart 9">
          <a:extLst>
            <a:ext uri="{FF2B5EF4-FFF2-40B4-BE49-F238E27FC236}">
              <a16:creationId xmlns:a16="http://schemas.microsoft.com/office/drawing/2014/main" id="{47E6AA7F-3AC5-D64D-D1FE-5C58D51B0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289717</xdr:colOff>
      <xdr:row>17</xdr:row>
      <xdr:rowOff>37305</xdr:rowOff>
    </xdr:from>
    <xdr:to>
      <xdr:col>9</xdr:col>
      <xdr:colOff>289717</xdr:colOff>
      <xdr:row>32</xdr:row>
      <xdr:rowOff>42068</xdr:rowOff>
    </xdr:to>
    <xdr:graphicFrame macro="">
      <xdr:nvGraphicFramePr>
        <xdr:cNvPr id="11" name="Chart 10">
          <a:extLst>
            <a:ext uri="{FF2B5EF4-FFF2-40B4-BE49-F238E27FC236}">
              <a16:creationId xmlns:a16="http://schemas.microsoft.com/office/drawing/2014/main" id="{E9DAA3FE-22BB-6B7B-8EFF-5D8D493B4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384968</xdr:colOff>
      <xdr:row>0</xdr:row>
      <xdr:rowOff>17462</xdr:rowOff>
    </xdr:from>
    <xdr:to>
      <xdr:col>16</xdr:col>
      <xdr:colOff>198437</xdr:colOff>
      <xdr:row>16</xdr:row>
      <xdr:rowOff>47626</xdr:rowOff>
    </xdr:to>
    <xdr:graphicFrame macro="">
      <xdr:nvGraphicFramePr>
        <xdr:cNvPr id="17" name="Chart 16">
          <a:extLst>
            <a:ext uri="{FF2B5EF4-FFF2-40B4-BE49-F238E27FC236}">
              <a16:creationId xmlns:a16="http://schemas.microsoft.com/office/drawing/2014/main" id="{EDFD42F7-C141-94FF-3638-2B309E4D5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120650</xdr:colOff>
      <xdr:row>15</xdr:row>
      <xdr:rowOff>6350</xdr:rowOff>
    </xdr:from>
    <xdr:to>
      <xdr:col>7</xdr:col>
      <xdr:colOff>44450</xdr:colOff>
      <xdr:row>30</xdr:row>
      <xdr:rowOff>82550</xdr:rowOff>
    </xdr:to>
    <xdr:graphicFrame macro="">
      <xdr:nvGraphicFramePr>
        <xdr:cNvPr id="2" name="Chart 1">
          <a:extLst>
            <a:ext uri="{FF2B5EF4-FFF2-40B4-BE49-F238E27FC236}">
              <a16:creationId xmlns:a16="http://schemas.microsoft.com/office/drawing/2014/main" id="{0FEF7B2C-8855-B6C1-0525-4906436B2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139700</xdr:colOff>
      <xdr:row>1</xdr:row>
      <xdr:rowOff>19050</xdr:rowOff>
    </xdr:from>
    <xdr:to>
      <xdr:col>18</xdr:col>
      <xdr:colOff>501650</xdr:colOff>
      <xdr:row>35</xdr:row>
      <xdr:rowOff>127000</xdr:rowOff>
    </xdr:to>
    <xdr:sp macro="" textlink="">
      <xdr:nvSpPr>
        <xdr:cNvPr id="3" name="TextBox 2">
          <a:extLst>
            <a:ext uri="{FF2B5EF4-FFF2-40B4-BE49-F238E27FC236}">
              <a16:creationId xmlns:a16="http://schemas.microsoft.com/office/drawing/2014/main" id="{289B2D9F-7FA6-464F-BCEA-A130230E2D80}"/>
            </a:ext>
          </a:extLst>
        </xdr:cNvPr>
        <xdr:cNvSpPr txBox="1"/>
      </xdr:nvSpPr>
      <xdr:spPr>
        <a:xfrm>
          <a:off x="139700" y="203200"/>
          <a:ext cx="11334750" cy="636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PREDICTION AND CONCLUSION</a:t>
          </a:r>
        </a:p>
        <a:p>
          <a:r>
            <a:rPr lang="en-US" sz="1100" b="1">
              <a:solidFill>
                <a:schemeClr val="dk1"/>
              </a:solidFill>
              <a:effectLst/>
              <a:latin typeface="+mn-lt"/>
              <a:ea typeface="+mn-ea"/>
              <a:cs typeface="+mn-cs"/>
            </a:rPr>
            <a:t>NAME</a:t>
          </a:r>
          <a:r>
            <a:rPr lang="en-US" sz="1100" b="1" baseline="0">
              <a:solidFill>
                <a:schemeClr val="dk1"/>
              </a:solidFill>
              <a:effectLst/>
              <a:latin typeface="+mn-lt"/>
              <a:ea typeface="+mn-ea"/>
              <a:cs typeface="+mn-cs"/>
            </a:rPr>
            <a:t> OF STUDENT</a:t>
          </a:r>
          <a:r>
            <a:rPr lang="en-US" sz="1100" baseline="0">
              <a:solidFill>
                <a:schemeClr val="dk1"/>
              </a:solidFill>
              <a:effectLst/>
              <a:latin typeface="+mn-lt"/>
              <a:ea typeface="+mn-ea"/>
              <a:cs typeface="+mn-cs"/>
            </a:rPr>
            <a:t>: Adanna Sylvia Eze</a:t>
          </a:r>
          <a:endParaRPr lang="en-NG">
            <a:effectLst/>
          </a:endParaRPr>
        </a:p>
        <a:p>
          <a:r>
            <a:rPr lang="en-US" sz="1100" b="1" baseline="0">
              <a:solidFill>
                <a:schemeClr val="dk1"/>
              </a:solidFill>
              <a:effectLst/>
              <a:latin typeface="+mn-lt"/>
              <a:ea typeface="+mn-ea"/>
              <a:cs typeface="+mn-cs"/>
            </a:rPr>
            <a:t>PROJECT TOPIC</a:t>
          </a:r>
          <a:r>
            <a:rPr lang="en-US" sz="1100" baseline="0">
              <a:solidFill>
                <a:schemeClr val="dk1"/>
              </a:solidFill>
              <a:effectLst/>
              <a:latin typeface="+mn-lt"/>
              <a:ea typeface="+mn-ea"/>
              <a:cs typeface="+mn-cs"/>
            </a:rPr>
            <a:t>: Christmas spotify list</a:t>
          </a:r>
        </a:p>
        <a:p>
          <a:r>
            <a:rPr lang="en-GB" b="1"/>
            <a:t>ASSUMPTIONS</a:t>
          </a:r>
          <a:r>
            <a:rPr lang="en-GB" b="1" baseline="0"/>
            <a:t> AND DATA PREPARATION</a:t>
          </a:r>
          <a:endParaRPr lang="en-GB" b="1"/>
        </a:p>
        <a:p>
          <a:r>
            <a:rPr lang="en-GB"/>
            <a:t>1.</a:t>
          </a:r>
          <a:r>
            <a:rPr lang="en-GB" baseline="0"/>
            <a:t>  </a:t>
          </a:r>
          <a:r>
            <a:rPr lang="en-GB"/>
            <a:t>In Power Query, </a:t>
          </a:r>
          <a:r>
            <a:rPr lang="en-GB" b="1"/>
            <a:t>Week 1 was recoded as Week 54</a:t>
          </a:r>
          <a:r>
            <a:rPr lang="en-GB"/>
            <a:t>. Since Week 52 is typically the final week of the year (except in leap years), Week 1 actually represents the first week of the following year. To improve the flow and readability of the bar charts, this value was adjusted to Week 54. Notably, </a:t>
          </a:r>
          <a:r>
            <a:rPr lang="en-GB" b="1"/>
            <a:t>2020 is the only leap year in the dataset where Week 53 naturally occurs</a:t>
          </a:r>
          <a:r>
            <a:rPr lang="en-GB"/>
            <a:t>.</a:t>
          </a:r>
        </a:p>
        <a:p>
          <a:r>
            <a:rPr lang="en-GB"/>
            <a:t>2.  The noticeable drop in streams for </a:t>
          </a:r>
          <a:r>
            <a:rPr lang="en-GB" b="1"/>
            <a:t>2025</a:t>
          </a:r>
          <a:r>
            <a:rPr lang="en-GB"/>
            <a:t> is due to </a:t>
          </a:r>
          <a:r>
            <a:rPr lang="en-GB" b="1"/>
            <a:t>incomplete data</a:t>
          </a:r>
          <a:r>
            <a:rPr lang="en-GB"/>
            <a:t>. Unlike other years, which include data from </a:t>
          </a:r>
          <a:r>
            <a:rPr lang="en-GB" b="1"/>
            <a:t>Week 45 to Week 53</a:t>
          </a:r>
          <a:r>
            <a:rPr lang="en-GB"/>
            <a:t>, 2025 currently only contains data from </a:t>
          </a:r>
          <a:r>
            <a:rPr lang="en-GB" b="1"/>
            <a:t>Week 45 to Week 48</a:t>
          </a:r>
          <a:r>
            <a:rPr lang="en-GB"/>
            <a:t> because the year is still ongoing. Since streams typically peak between </a:t>
          </a:r>
          <a:r>
            <a:rPr lang="en-GB" b="1"/>
            <a:t>Weeks 48 and 52</a:t>
          </a:r>
          <a:r>
            <a:rPr lang="en-GB"/>
            <a:t>, much of the peak-period data is missing. As a result, the forecast model relies on </a:t>
          </a:r>
          <a:r>
            <a:rPr lang="en-GB" b="1"/>
            <a:t>complete data from 2020 to 2024</a:t>
          </a:r>
          <a:r>
            <a:rPr lang="en-GB"/>
            <a:t>. Based on this forecast, December streams were expected to range between </a:t>
          </a:r>
          <a:r>
            <a:rPr lang="en-GB" b="1"/>
            <a:t>1.58 billion and 1.91 billion</a:t>
          </a:r>
          <a:r>
            <a:rPr lang="en-GB"/>
            <a:t>, whereas the current recorded value is </a:t>
          </a:r>
          <a:r>
            <a:rPr lang="en-GB" b="1"/>
            <a:t>310 million</a:t>
          </a:r>
          <a:r>
            <a:rPr lang="en-GB"/>
            <a:t>. External sources suggest that 2025 streams may reach around </a:t>
          </a:r>
          <a:r>
            <a:rPr lang="en-GB" b="1"/>
            <a:t>1 billion</a:t>
          </a:r>
          <a:r>
            <a:rPr lang="en-GB"/>
            <a:t>, still below the forecast but more realistic given the incomplete dataset.</a:t>
          </a:r>
        </a:p>
        <a:p>
          <a:r>
            <a:rPr lang="en-GB"/>
            <a:t>3.  For the </a:t>
          </a:r>
          <a:r>
            <a:rPr lang="en-GB" b="1">
              <a:effectLst/>
            </a:rPr>
            <a:t>Forecast for Total streams vs Years</a:t>
          </a:r>
          <a:r>
            <a:rPr lang="en-GB"/>
            <a:t>, the analysis was limited to </a:t>
          </a:r>
          <a:r>
            <a:rPr lang="en-GB" b="1"/>
            <a:t>2020–2024</a:t>
          </a:r>
          <a:r>
            <a:rPr lang="en-GB"/>
            <a:t>, and </a:t>
          </a:r>
          <a:r>
            <a:rPr lang="en-GB" b="1"/>
            <a:t>Week 54</a:t>
          </a:r>
          <a:r>
            <a:rPr lang="en-GB"/>
            <a:t> was excluded. Week 54 represents the first week of the following year (e.g., 02/01/2020, 04/01/2024, 02/01/2025) and is not consistently recorded across all years. Including these weeks would introduce </a:t>
          </a:r>
          <a:r>
            <a:rPr lang="en-GB" b="1"/>
            <a:t>anomalies</a:t>
          </a:r>
          <a:r>
            <a:rPr lang="en-GB"/>
            <a:t> and reduce forecast accuracy.</a:t>
          </a:r>
        </a:p>
        <a:p>
          <a:r>
            <a:rPr lang="en-GB"/>
            <a:t>4.  During data cleaning, it was observed that stream values were repeatedly recorded at </a:t>
          </a:r>
          <a:r>
            <a:rPr lang="en-GB" b="1"/>
            <a:t>Thursday midnight</a:t>
          </a:r>
          <a:r>
            <a:rPr lang="en-GB"/>
            <a:t> as constant values. These entries were removed to prevent distortion in the analysis.</a:t>
          </a:r>
          <a:br>
            <a:rPr lang="en-GB"/>
          </a:br>
          <a:endParaRPr lang="en-GB"/>
        </a:p>
        <a:p>
          <a:r>
            <a:rPr lang="en-GB" b="1"/>
            <a:t>RESEARCH</a:t>
          </a:r>
          <a:r>
            <a:rPr lang="en-GB" b="1" baseline="0"/>
            <a:t> FINDINGS</a:t>
          </a:r>
          <a:endParaRPr lang="en-GB" b="1"/>
        </a:p>
        <a:p>
          <a:r>
            <a:rPr lang="en-GB"/>
            <a:t>1.  From November to December, streaming activity </a:t>
          </a:r>
          <a:r>
            <a:rPr lang="en-GB" b="1"/>
            <a:t>peaks in Week 51</a:t>
          </a:r>
          <a:r>
            <a:rPr lang="en-GB"/>
            <a:t>.</a:t>
          </a:r>
        </a:p>
        <a:p>
          <a:r>
            <a:rPr lang="en-GB"/>
            <a:t>2.  The most-streamed artists include </a:t>
          </a:r>
          <a:r>
            <a:rPr lang="en-GB" b="1"/>
            <a:t>Mariah Carey, Wham, and Bublé</a:t>
          </a:r>
          <a:r>
            <a:rPr lang="en-GB"/>
            <a:t>, while </a:t>
          </a:r>
          <a:r>
            <a:rPr lang="en-GB" b="1"/>
            <a:t>José Feliciano and Michael Bublé</a:t>
          </a:r>
          <a:r>
            <a:rPr lang="en-GB"/>
            <a:t> appear among the least-streamed in certain comparisons.</a:t>
          </a:r>
        </a:p>
        <a:p>
          <a:r>
            <a:rPr lang="en-GB" b="1"/>
            <a:t>3.  Mariah Carey consistently ranks number one every year with Wham</a:t>
          </a:r>
          <a:r>
            <a:rPr lang="en-GB" b="1" baseline="0"/>
            <a:t> following behind</a:t>
          </a:r>
          <a:r>
            <a:rPr lang="en-GB"/>
            <a:t>.</a:t>
          </a:r>
        </a:p>
        <a:p>
          <a:r>
            <a:rPr lang="en-GB"/>
            <a:t>4.  Streaming volume </a:t>
          </a:r>
          <a:r>
            <a:rPr lang="en-GB" b="1"/>
            <a:t>doubles or triples in December</a:t>
          </a:r>
          <a:r>
            <a:rPr lang="en-GB"/>
            <a:t>, particularly from mid-December onward.</a:t>
          </a:r>
        </a:p>
        <a:p>
          <a:r>
            <a:rPr lang="en-GB"/>
            <a:t>5. Classic Christmas songs continue to grow in popularity over time.</a:t>
          </a:r>
        </a:p>
        <a:p>
          <a:r>
            <a:rPr lang="en-GB"/>
            <a:t>6.</a:t>
          </a:r>
          <a:r>
            <a:rPr lang="en-GB" baseline="0"/>
            <a:t> All christmas songs keep rising over the years</a:t>
          </a:r>
          <a:endParaRPr lang="en-GB"/>
        </a:p>
        <a:p>
          <a:r>
            <a:rPr lang="en-GB"/>
            <a:t>7.  Streams drop sharply in </a:t>
          </a:r>
          <a:r>
            <a:rPr lang="en-GB" b="1"/>
            <a:t>Week 54</a:t>
          </a:r>
          <a:r>
            <a:rPr lang="en-GB"/>
            <a:t>, which typically marks the beginning of the New Year and signals the end of the Christmas season.</a:t>
          </a:r>
        </a:p>
        <a:p>
          <a:endParaRPr lang="en-GB"/>
        </a:p>
        <a:p>
          <a:r>
            <a:rPr lang="en-GB" b="1"/>
            <a:t>PREDICTION</a:t>
          </a:r>
          <a:r>
            <a:rPr lang="en-GB" b="1" baseline="0"/>
            <a:t> FINDINGS</a:t>
          </a:r>
          <a:endParaRPr lang="en-GB" b="1"/>
        </a:p>
        <a:p>
          <a:r>
            <a:rPr lang="en-GB"/>
            <a:t>1.  Mariah Carey’s Christmas songs will continue to dominate streaming charts.</a:t>
          </a:r>
        </a:p>
        <a:p>
          <a:r>
            <a:rPr lang="en-GB"/>
            <a:t>2.  Christmas music will consistently reach its peak around </a:t>
          </a:r>
          <a:r>
            <a:rPr lang="en-GB" b="1"/>
            <a:t>Week 52</a:t>
          </a:r>
          <a:r>
            <a:rPr lang="en-GB"/>
            <a:t>.</a:t>
          </a:r>
        </a:p>
        <a:p>
          <a:r>
            <a:rPr lang="en-GB" b="1"/>
            <a:t>3.  Classic songs from the 1980s and 1990s</a:t>
          </a:r>
          <a:r>
            <a:rPr lang="en-GB"/>
            <a:t> will remain more popular than newer releases.</a:t>
          </a:r>
        </a:p>
        <a:p>
          <a:r>
            <a:rPr lang="en-GB"/>
            <a:t>4.  Streams are expected to start low around </a:t>
          </a:r>
          <a:r>
            <a:rPr lang="en-GB" b="1"/>
            <a:t>Week 42</a:t>
          </a:r>
          <a:r>
            <a:rPr lang="en-GB"/>
            <a:t>, rise rapidly toward </a:t>
          </a:r>
          <a:r>
            <a:rPr lang="en-GB" b="1"/>
            <a:t>Week 52</a:t>
          </a:r>
          <a:r>
            <a:rPr lang="en-GB"/>
            <a:t>, and decline sharply in </a:t>
          </a:r>
          <a:r>
            <a:rPr lang="en-GB" b="1"/>
            <a:t>Week 53</a:t>
          </a:r>
          <a:r>
            <a:rPr lang="en-GB"/>
            <a:t>.</a:t>
          </a: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5.  An </a:t>
          </a:r>
          <a:r>
            <a:rPr lang="en-GB" sz="1100" b="1">
              <a:solidFill>
                <a:schemeClr val="dk1"/>
              </a:solidFill>
              <a:effectLst/>
              <a:latin typeface="+mn-lt"/>
              <a:ea typeface="+mn-ea"/>
              <a:cs typeface="+mn-cs"/>
            </a:rPr>
            <a:t>IF analysis in Excel</a:t>
          </a:r>
          <a:r>
            <a:rPr lang="en-GB" sz="1100">
              <a:solidFill>
                <a:schemeClr val="dk1"/>
              </a:solidFill>
              <a:effectLst/>
              <a:latin typeface="+mn-lt"/>
              <a:ea typeface="+mn-ea"/>
              <a:cs typeface="+mn-cs"/>
            </a:rPr>
            <a:t> was used to classify songs as most-streamed, less-streamed, or least-streamed. These results closely matched the rankings from </a:t>
          </a:r>
          <a:r>
            <a:rPr lang="en-GB" sz="1100" b="1">
              <a:solidFill>
                <a:schemeClr val="dk1"/>
              </a:solidFill>
              <a:effectLst/>
              <a:latin typeface="+mn-lt"/>
              <a:ea typeface="+mn-ea"/>
              <a:cs typeface="+mn-cs"/>
            </a:rPr>
            <a:t>Pivot Analysis 3</a:t>
          </a:r>
          <a:r>
            <a:rPr lang="en-GB" sz="1100">
              <a:solidFill>
                <a:schemeClr val="dk1"/>
              </a:solidFill>
              <a:effectLst/>
              <a:latin typeface="+mn-lt"/>
              <a:ea typeface="+mn-ea"/>
              <a:cs typeface="+mn-cs"/>
            </a:rPr>
            <a:t>, confirming consistency across methods.</a:t>
          </a:r>
          <a:endParaRPr lang="en-NG">
            <a:effectLst/>
          </a:endParaRPr>
        </a:p>
        <a:p>
          <a:endParaRPr lang="en-GB"/>
        </a:p>
        <a:p>
          <a:endParaRPr lang="en-GB"/>
        </a:p>
        <a:p>
          <a:r>
            <a:rPr lang="en-GB" b="1"/>
            <a:t>CONCLUSION</a:t>
          </a:r>
        </a:p>
        <a:p>
          <a:r>
            <a:rPr lang="en-GB"/>
            <a:t>This analysis explains why Mariah Carey continues to lead Christmas streaming charts. Her success is driven by consistent seasonal promotion, strong media presence, and sustained engagement through platforms such as YouTube. Meanwhile, classic Christmas songs continue to outperform newer releases due to their strong association with </a:t>
          </a:r>
          <a:r>
            <a:rPr lang="en-GB" b="1"/>
            <a:t>nostalgia, tradition, and holiday rituals</a:t>
          </a:r>
          <a:r>
            <a:rPr lang="en-GB"/>
            <a:t>, making them enduring favorites for listeners.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158750</xdr:colOff>
      <xdr:row>1</xdr:row>
      <xdr:rowOff>6350</xdr:rowOff>
    </xdr:from>
    <xdr:to>
      <xdr:col>16</xdr:col>
      <xdr:colOff>381000</xdr:colOff>
      <xdr:row>10</xdr:row>
      <xdr:rowOff>152400</xdr:rowOff>
    </xdr:to>
    <xdr:sp macro="" textlink="">
      <xdr:nvSpPr>
        <xdr:cNvPr id="2" name="TextBox 1">
          <a:extLst>
            <a:ext uri="{FF2B5EF4-FFF2-40B4-BE49-F238E27FC236}">
              <a16:creationId xmlns:a16="http://schemas.microsoft.com/office/drawing/2014/main" id="{EA2620AC-A32A-BBFF-34C4-8DB3792F1646}"/>
            </a:ext>
          </a:extLst>
        </xdr:cNvPr>
        <xdr:cNvSpPr txBox="1"/>
      </xdr:nvSpPr>
      <xdr:spPr>
        <a:xfrm>
          <a:off x="158750" y="190500"/>
          <a:ext cx="9975850" cy="180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SUMMARY</a:t>
          </a:r>
        </a:p>
        <a:p>
          <a:endParaRPr lang="en-GB" b="1"/>
        </a:p>
        <a:p>
          <a:r>
            <a:rPr lang="en-GB"/>
            <a:t>This analysis examined the streaming performance of seven major Christmas songs on Spotify over a seven-year period, focusing on trends from week 45 through the New Year. Using Excel and Power BI, clear seasonal patterns emerged: streams consistently rise from mid-November, peak around weeks 51–52, and drop sharply in the first week of January. Classic Christmas songs—particularly those by Mariah Carey—continue to dominate the charts, driven by nostalgia, tradition, and sustained seasonal promotion. Overall, the findings confirm that time and seasonality are the strongest drivers of Christmas music streaming, making these trends both predictable and consistent year after year.</a:t>
          </a:r>
        </a:p>
        <a:p>
          <a:endParaRPr lang="en-NG"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10585</xdr:colOff>
      <xdr:row>9</xdr:row>
      <xdr:rowOff>72870</xdr:rowOff>
    </xdr:from>
    <xdr:to>
      <xdr:col>8</xdr:col>
      <xdr:colOff>436035</xdr:colOff>
      <xdr:row>27</xdr:row>
      <xdr:rowOff>127001</xdr:rowOff>
    </xdr:to>
    <xdr:graphicFrame macro="">
      <xdr:nvGraphicFramePr>
        <xdr:cNvPr id="3" name="Chart 2">
          <a:extLst>
            <a:ext uri="{FF2B5EF4-FFF2-40B4-BE49-F238E27FC236}">
              <a16:creationId xmlns:a16="http://schemas.microsoft.com/office/drawing/2014/main" id="{C301D19E-BF1B-4347-84A9-6FC8949C5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474653</xdr:colOff>
      <xdr:row>9</xdr:row>
      <xdr:rowOff>84839</xdr:rowOff>
    </xdr:from>
    <xdr:to>
      <xdr:col>17</xdr:col>
      <xdr:colOff>550855</xdr:colOff>
      <xdr:row>24</xdr:row>
      <xdr:rowOff>158923</xdr:rowOff>
    </xdr:to>
    <mc:AlternateContent xmlns:mc="http://schemas.openxmlformats.org/markup-compatibility/2006">
      <mc:Choice xmlns:a14="http://schemas.microsoft.com/office/drawing/2010/main" Requires="a14">
        <xdr:graphicFrame macro="">
          <xdr:nvGraphicFramePr>
            <xdr:cNvPr id="15" name="artist">
              <a:extLst>
                <a:ext uri="{FF2B5EF4-FFF2-40B4-BE49-F238E27FC236}">
                  <a16:creationId xmlns:a16="http://schemas.microsoft.com/office/drawing/2014/main" id="{CC722ACD-EF3C-321F-E6CF-E2A9AA7042C1}"/>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dr:sp macro="" textlink="">
          <xdr:nvSpPr>
            <xdr:cNvPr id="0" name=""/>
            <xdr:cNvSpPr>
              <a:spLocks noTextEdit="1"/>
            </xdr:cNvSpPr>
          </xdr:nvSpPr>
          <xdr:spPr>
            <a:xfrm>
              <a:off x="9833096" y="1771232"/>
              <a:ext cx="1918743" cy="28847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519278</xdr:colOff>
      <xdr:row>17</xdr:row>
      <xdr:rowOff>44069</xdr:rowOff>
    </xdr:from>
    <xdr:to>
      <xdr:col>11</xdr:col>
      <xdr:colOff>540444</xdr:colOff>
      <xdr:row>36</xdr:row>
      <xdr:rowOff>166557</xdr:rowOff>
    </xdr:to>
    <mc:AlternateContent xmlns:mc="http://schemas.openxmlformats.org/markup-compatibility/2006">
      <mc:Choice xmlns:a14="http://schemas.microsoft.com/office/drawing/2010/main" Requires="a14">
        <xdr:graphicFrame macro="">
          <xdr:nvGraphicFramePr>
            <xdr:cNvPr id="17" name="week_of_year">
              <a:extLst>
                <a:ext uri="{FF2B5EF4-FFF2-40B4-BE49-F238E27FC236}">
                  <a16:creationId xmlns:a16="http://schemas.microsoft.com/office/drawing/2014/main" id="{ACF5BE13-28AA-FB52-1476-8FE5A7BC5308}"/>
                </a:ext>
              </a:extLst>
            </xdr:cNvPr>
            <xdr:cNvGraphicFramePr/>
          </xdr:nvGraphicFramePr>
          <xdr:xfrm>
            <a:off x="0" y="0"/>
            <a:ext cx="0" cy="0"/>
          </xdr:xfrm>
          <a:graphic>
            <a:graphicData uri="http://schemas.microsoft.com/office/drawing/2010/slicer">
              <sle:slicer xmlns:sle="http://schemas.microsoft.com/office/drawing/2010/slicer" name="week_of_year"/>
            </a:graphicData>
          </a:graphic>
        </xdr:graphicFrame>
      </mc:Choice>
      <mc:Fallback>
        <xdr:sp macro="" textlink="">
          <xdr:nvSpPr>
            <xdr:cNvPr id="0" name=""/>
            <xdr:cNvSpPr>
              <a:spLocks noTextEdit="1"/>
            </xdr:cNvSpPr>
          </xdr:nvSpPr>
          <xdr:spPr>
            <a:xfrm>
              <a:off x="6192639" y="3229479"/>
              <a:ext cx="1863707" cy="36826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560916</xdr:colOff>
      <xdr:row>0</xdr:row>
      <xdr:rowOff>0</xdr:rowOff>
    </xdr:from>
    <xdr:to>
      <xdr:col>26</xdr:col>
      <xdr:colOff>247650</xdr:colOff>
      <xdr:row>5</xdr:row>
      <xdr:rowOff>4233</xdr:rowOff>
    </xdr:to>
    <xdr:pic>
      <xdr:nvPicPr>
        <xdr:cNvPr id="27" name="Graphic 26" descr="Holiday tree with solid fill">
          <a:extLst>
            <a:ext uri="{FF2B5EF4-FFF2-40B4-BE49-F238E27FC236}">
              <a16:creationId xmlns:a16="http://schemas.microsoft.com/office/drawing/2014/main" id="{9A92F21E-E640-8E2E-1E0B-2E03E3394CB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44333" y="0"/>
          <a:ext cx="914400" cy="914400"/>
        </a:xfrm>
        <a:prstGeom prst="rect">
          <a:avLst/>
        </a:prstGeom>
      </xdr:spPr>
    </xdr:pic>
    <xdr:clientData/>
  </xdr:twoCellAnchor>
  <xdr:twoCellAnchor editAs="oneCell">
    <xdr:from>
      <xdr:col>0</xdr:col>
      <xdr:colOff>511739</xdr:colOff>
      <xdr:row>0</xdr:row>
      <xdr:rowOff>0</xdr:rowOff>
    </xdr:from>
    <xdr:to>
      <xdr:col>2</xdr:col>
      <xdr:colOff>202115</xdr:colOff>
      <xdr:row>5</xdr:row>
      <xdr:rowOff>4233</xdr:rowOff>
    </xdr:to>
    <xdr:pic>
      <xdr:nvPicPr>
        <xdr:cNvPr id="29" name="Graphic 28" descr="Holiday wreath outline">
          <a:extLst>
            <a:ext uri="{FF2B5EF4-FFF2-40B4-BE49-F238E27FC236}">
              <a16:creationId xmlns:a16="http://schemas.microsoft.com/office/drawing/2014/main" id="{F478C823-B0F3-07A3-170A-2F32E39AF0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1739" y="0"/>
          <a:ext cx="918737" cy="941118"/>
        </a:xfrm>
        <a:prstGeom prst="rect">
          <a:avLst/>
        </a:prstGeom>
      </xdr:spPr>
    </xdr:pic>
    <xdr:clientData/>
  </xdr:twoCellAnchor>
  <xdr:twoCellAnchor editAs="oneCell">
    <xdr:from>
      <xdr:col>4</xdr:col>
      <xdr:colOff>674730</xdr:colOff>
      <xdr:row>0</xdr:row>
      <xdr:rowOff>41640</xdr:rowOff>
    </xdr:from>
    <xdr:to>
      <xdr:col>5</xdr:col>
      <xdr:colOff>588537</xdr:colOff>
      <xdr:row>5</xdr:row>
      <xdr:rowOff>21480</xdr:rowOff>
    </xdr:to>
    <xdr:pic>
      <xdr:nvPicPr>
        <xdr:cNvPr id="6" name="Graphic 30" descr="Headphones with solid fill">
          <a:extLst>
            <a:ext uri="{FF2B5EF4-FFF2-40B4-BE49-F238E27FC236}">
              <a16:creationId xmlns:a16="http://schemas.microsoft.com/office/drawing/2014/main" id="{6AD8003C-5D48-D399-7F55-89B69AC0FDD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31451" y="41640"/>
          <a:ext cx="923561" cy="916725"/>
        </a:xfrm>
        <a:prstGeom prst="rect">
          <a:avLst/>
        </a:prstGeom>
      </xdr:spPr>
    </xdr:pic>
    <xdr:clientData/>
  </xdr:twoCellAnchor>
  <xdr:twoCellAnchor editAs="oneCell">
    <xdr:from>
      <xdr:col>17</xdr:col>
      <xdr:colOff>162045</xdr:colOff>
      <xdr:row>0</xdr:row>
      <xdr:rowOff>31229</xdr:rowOff>
    </xdr:from>
    <xdr:to>
      <xdr:col>18</xdr:col>
      <xdr:colOff>462958</xdr:colOff>
      <xdr:row>5</xdr:row>
      <xdr:rowOff>35462</xdr:rowOff>
    </xdr:to>
    <xdr:pic>
      <xdr:nvPicPr>
        <xdr:cNvPr id="33" name="Graphic 32" descr="Bells with solid fill">
          <a:extLst>
            <a:ext uri="{FF2B5EF4-FFF2-40B4-BE49-F238E27FC236}">
              <a16:creationId xmlns:a16="http://schemas.microsoft.com/office/drawing/2014/main" id="{223FADA5-3F89-4337-D78B-B48A6AC126C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63029" y="31229"/>
          <a:ext cx="915093" cy="941118"/>
        </a:xfrm>
        <a:prstGeom prst="rect">
          <a:avLst/>
        </a:prstGeom>
      </xdr:spPr>
    </xdr:pic>
    <xdr:clientData/>
  </xdr:twoCellAnchor>
  <xdr:twoCellAnchor>
    <xdr:from>
      <xdr:col>17</xdr:col>
      <xdr:colOff>211667</xdr:colOff>
      <xdr:row>57</xdr:row>
      <xdr:rowOff>158750</xdr:rowOff>
    </xdr:from>
    <xdr:to>
      <xdr:col>26</xdr:col>
      <xdr:colOff>137582</xdr:colOff>
      <xdr:row>76</xdr:row>
      <xdr:rowOff>10581</xdr:rowOff>
    </xdr:to>
    <xdr:graphicFrame macro="">
      <xdr:nvGraphicFramePr>
        <xdr:cNvPr id="12" name="Chart 11">
          <a:extLst>
            <a:ext uri="{FF2B5EF4-FFF2-40B4-BE49-F238E27FC236}">
              <a16:creationId xmlns:a16="http://schemas.microsoft.com/office/drawing/2014/main" id="{5EF19D78-06C1-5798-25D7-CD2BE4C2D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537809</xdr:colOff>
      <xdr:row>37</xdr:row>
      <xdr:rowOff>0</xdr:rowOff>
    </xdr:from>
    <xdr:to>
      <xdr:col>11</xdr:col>
      <xdr:colOff>539925</xdr:colOff>
      <xdr:row>55</xdr:row>
      <xdr:rowOff>179915</xdr:rowOff>
    </xdr:to>
    <mc:AlternateContent xmlns:mc="http://schemas.openxmlformats.org/markup-compatibility/2006">
      <mc:Choice xmlns:a14="http://schemas.microsoft.com/office/drawing/2010/main" Requires="a14">
        <xdr:graphicFrame macro="">
          <xdr:nvGraphicFramePr>
            <xdr:cNvPr id="18" name="track">
              <a:extLst>
                <a:ext uri="{FF2B5EF4-FFF2-40B4-BE49-F238E27FC236}">
                  <a16:creationId xmlns:a16="http://schemas.microsoft.com/office/drawing/2014/main" id="{5F00D813-8B69-725D-1F34-923D465ED5D9}"/>
                </a:ext>
              </a:extLst>
            </xdr:cNvPr>
            <xdr:cNvGraphicFramePr/>
          </xdr:nvGraphicFramePr>
          <xdr:xfrm>
            <a:off x="0" y="0"/>
            <a:ext cx="0" cy="0"/>
          </xdr:xfrm>
          <a:graphic>
            <a:graphicData uri="http://schemas.microsoft.com/office/drawing/2010/slicer">
              <sle:slicer xmlns:sle="http://schemas.microsoft.com/office/drawing/2010/slicer" name="track"/>
            </a:graphicData>
          </a:graphic>
        </xdr:graphicFrame>
      </mc:Choice>
      <mc:Fallback>
        <xdr:sp macro="" textlink="">
          <xdr:nvSpPr>
            <xdr:cNvPr id="0" name=""/>
            <xdr:cNvSpPr>
              <a:spLocks noTextEdit="1"/>
            </xdr:cNvSpPr>
          </xdr:nvSpPr>
          <xdr:spPr>
            <a:xfrm>
              <a:off x="6211170" y="6932951"/>
              <a:ext cx="1844657" cy="355270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550508</xdr:colOff>
      <xdr:row>17</xdr:row>
      <xdr:rowOff>33659</xdr:rowOff>
    </xdr:from>
    <xdr:to>
      <xdr:col>14</xdr:col>
      <xdr:colOff>476424</xdr:colOff>
      <xdr:row>24</xdr:row>
      <xdr:rowOff>145737</xdr:rowOff>
    </xdr:to>
    <xdr:sp macro="" textlink="">
      <xdr:nvSpPr>
        <xdr:cNvPr id="2" name="TextBox 1">
          <a:extLst>
            <a:ext uri="{FF2B5EF4-FFF2-40B4-BE49-F238E27FC236}">
              <a16:creationId xmlns:a16="http://schemas.microsoft.com/office/drawing/2014/main" id="{E8A803E9-21CE-4034-1E4E-034969F8B084}"/>
            </a:ext>
          </a:extLst>
        </xdr:cNvPr>
        <xdr:cNvSpPr txBox="1"/>
      </xdr:nvSpPr>
      <xdr:spPr>
        <a:xfrm>
          <a:off x="8066410" y="3219069"/>
          <a:ext cx="1768457" cy="1423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FF0000"/>
              </a:solidFill>
            </a:rPr>
            <a:t>7 TRACKS,</a:t>
          </a:r>
        </a:p>
        <a:p>
          <a:r>
            <a:rPr lang="en-US" sz="2800" b="1" baseline="0">
              <a:solidFill>
                <a:srgbClr val="FF0000"/>
              </a:solidFill>
            </a:rPr>
            <a:t>7 ARTISTS</a:t>
          </a:r>
          <a:endParaRPr lang="en-NG" sz="2800" b="1">
            <a:solidFill>
              <a:srgbClr val="FF0000"/>
            </a:solidFill>
          </a:endParaRPr>
        </a:p>
      </xdr:txBody>
    </xdr:sp>
    <xdr:clientData/>
  </xdr:twoCellAnchor>
  <xdr:twoCellAnchor editAs="oneCell">
    <xdr:from>
      <xdr:col>8</xdr:col>
      <xdr:colOff>511714</xdr:colOff>
      <xdr:row>9</xdr:row>
      <xdr:rowOff>82726</xdr:rowOff>
    </xdr:from>
    <xdr:to>
      <xdr:col>14</xdr:col>
      <xdr:colOff>475730</xdr:colOff>
      <xdr:row>17</xdr:row>
      <xdr:rowOff>14991</xdr:rowOff>
    </xdr:to>
    <mc:AlternateContent xmlns:mc="http://schemas.openxmlformats.org/markup-compatibility/2006">
      <mc:Choice xmlns:tsle="http://schemas.microsoft.com/office/drawing/2012/timeslicer" Requires="tsle">
        <xdr:graphicFrame macro="">
          <xdr:nvGraphicFramePr>
            <xdr:cNvPr id="21" name="date.1">
              <a:extLst>
                <a:ext uri="{FF2B5EF4-FFF2-40B4-BE49-F238E27FC236}">
                  <a16:creationId xmlns:a16="http://schemas.microsoft.com/office/drawing/2014/main" id="{FC5AB8B0-CA17-8883-F08D-72D38DA6A7E9}"/>
                </a:ext>
              </a:extLst>
            </xdr:cNvPr>
            <xdr:cNvGraphicFramePr/>
          </xdr:nvGraphicFramePr>
          <xdr:xfrm>
            <a:off x="0" y="0"/>
            <a:ext cx="0" cy="0"/>
          </xdr:xfrm>
          <a:graphic>
            <a:graphicData uri="http://schemas.microsoft.com/office/drawing/2012/timeslicer">
              <tsle:timeslicer xmlns:tsle="http://schemas.microsoft.com/office/drawing/2012/timeslicer" name="date.1"/>
            </a:graphicData>
          </a:graphic>
        </xdr:graphicFrame>
      </mc:Choice>
      <mc:Fallback>
        <xdr:sp macro="" textlink="">
          <xdr:nvSpPr>
            <xdr:cNvPr id="0" name=""/>
            <xdr:cNvSpPr>
              <a:spLocks noTextEdit="1"/>
            </xdr:cNvSpPr>
          </xdr:nvSpPr>
          <xdr:spPr>
            <a:xfrm>
              <a:off x="6185075" y="1769119"/>
              <a:ext cx="3649098" cy="143128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6</xdr:col>
      <xdr:colOff>249836</xdr:colOff>
      <xdr:row>57</xdr:row>
      <xdr:rowOff>116417</xdr:rowOff>
    </xdr:from>
    <xdr:to>
      <xdr:col>10</xdr:col>
      <xdr:colOff>275167</xdr:colOff>
      <xdr:row>66</xdr:row>
      <xdr:rowOff>158752</xdr:rowOff>
    </xdr:to>
    <xdr:pic>
      <xdr:nvPicPr>
        <xdr:cNvPr id="23" name="Picture 22">
          <a:extLst>
            <a:ext uri="{FF2B5EF4-FFF2-40B4-BE49-F238E27FC236}">
              <a16:creationId xmlns:a16="http://schemas.microsoft.com/office/drawing/2014/main" id="{A14E5A63-13A8-AFA8-5CD9-82F73F1EAB2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694836" y="10796909"/>
          <a:ext cx="2482052" cy="1728728"/>
        </a:xfrm>
        <a:prstGeom prst="rect">
          <a:avLst/>
        </a:prstGeom>
      </xdr:spPr>
    </xdr:pic>
    <xdr:clientData/>
  </xdr:twoCellAnchor>
  <xdr:twoCellAnchor editAs="oneCell">
    <xdr:from>
      <xdr:col>6</xdr:col>
      <xdr:colOff>270656</xdr:colOff>
      <xdr:row>66</xdr:row>
      <xdr:rowOff>148167</xdr:rowOff>
    </xdr:from>
    <xdr:to>
      <xdr:col>10</xdr:col>
      <xdr:colOff>301886</xdr:colOff>
      <xdr:row>76</xdr:row>
      <xdr:rowOff>10410</xdr:rowOff>
    </xdr:to>
    <xdr:pic>
      <xdr:nvPicPr>
        <xdr:cNvPr id="25" name="Picture 24">
          <a:extLst>
            <a:ext uri="{FF2B5EF4-FFF2-40B4-BE49-F238E27FC236}">
              <a16:creationId xmlns:a16="http://schemas.microsoft.com/office/drawing/2014/main" id="{F60B446E-CAD0-3AFE-0703-305759BE1E8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715656" y="12515052"/>
          <a:ext cx="2487951" cy="1736014"/>
        </a:xfrm>
        <a:prstGeom prst="rect">
          <a:avLst/>
        </a:prstGeom>
      </xdr:spPr>
    </xdr:pic>
    <xdr:clientData/>
  </xdr:twoCellAnchor>
  <xdr:twoCellAnchor>
    <xdr:from>
      <xdr:col>1</xdr:col>
      <xdr:colOff>21167</xdr:colOff>
      <xdr:row>27</xdr:row>
      <xdr:rowOff>158748</xdr:rowOff>
    </xdr:from>
    <xdr:to>
      <xdr:col>8</xdr:col>
      <xdr:colOff>444501</xdr:colOff>
      <xdr:row>43</xdr:row>
      <xdr:rowOff>23282</xdr:rowOff>
    </xdr:to>
    <xdr:graphicFrame macro="">
      <xdr:nvGraphicFramePr>
        <xdr:cNvPr id="10" name="Chart 9">
          <a:extLst>
            <a:ext uri="{FF2B5EF4-FFF2-40B4-BE49-F238E27FC236}">
              <a16:creationId xmlns:a16="http://schemas.microsoft.com/office/drawing/2014/main" id="{B40BE268-0013-4464-BFC9-61BF9DE93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21167</xdr:colOff>
      <xdr:row>43</xdr:row>
      <xdr:rowOff>10584</xdr:rowOff>
    </xdr:from>
    <xdr:to>
      <xdr:col>8</xdr:col>
      <xdr:colOff>444500</xdr:colOff>
      <xdr:row>55</xdr:row>
      <xdr:rowOff>169334</xdr:rowOff>
    </xdr:to>
    <xdr:graphicFrame macro="">
      <xdr:nvGraphicFramePr>
        <xdr:cNvPr id="14" name="Chart 13">
          <a:extLst>
            <a:ext uri="{FF2B5EF4-FFF2-40B4-BE49-F238E27FC236}">
              <a16:creationId xmlns:a16="http://schemas.microsoft.com/office/drawing/2014/main" id="{0E8256CF-ADE1-4A75-B5FE-F21427429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592318</xdr:colOff>
      <xdr:row>9</xdr:row>
      <xdr:rowOff>85014</xdr:rowOff>
    </xdr:from>
    <xdr:to>
      <xdr:col>25</xdr:col>
      <xdr:colOff>592319</xdr:colOff>
      <xdr:row>30</xdr:row>
      <xdr:rowOff>176967</xdr:rowOff>
    </xdr:to>
    <xdr:graphicFrame macro="">
      <xdr:nvGraphicFramePr>
        <xdr:cNvPr id="20" name="Chart 19">
          <a:extLst>
            <a:ext uri="{FF2B5EF4-FFF2-40B4-BE49-F238E27FC236}">
              <a16:creationId xmlns:a16="http://schemas.microsoft.com/office/drawing/2014/main" id="{891A562C-CA69-4E3E-972F-5F3E08EDE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592666</xdr:colOff>
      <xdr:row>31</xdr:row>
      <xdr:rowOff>10409</xdr:rowOff>
    </xdr:from>
    <xdr:to>
      <xdr:col>25</xdr:col>
      <xdr:colOff>582082</xdr:colOff>
      <xdr:row>55</xdr:row>
      <xdr:rowOff>158750</xdr:rowOff>
    </xdr:to>
    <xdr:graphicFrame macro="">
      <xdr:nvGraphicFramePr>
        <xdr:cNvPr id="28" name="Chart 27">
          <a:extLst>
            <a:ext uri="{FF2B5EF4-FFF2-40B4-BE49-F238E27FC236}">
              <a16:creationId xmlns:a16="http://schemas.microsoft.com/office/drawing/2014/main" id="{F8E4D1E6-0660-427E-90A6-EFE7E14CF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529689</xdr:colOff>
      <xdr:row>24</xdr:row>
      <xdr:rowOff>168986</xdr:rowOff>
    </xdr:from>
    <xdr:to>
      <xdr:col>17</xdr:col>
      <xdr:colOff>550855</xdr:colOff>
      <xdr:row>55</xdr:row>
      <xdr:rowOff>166556</xdr:rowOff>
    </xdr:to>
    <xdr:graphicFrame macro="">
      <xdr:nvGraphicFramePr>
        <xdr:cNvPr id="31" name="Chart 30">
          <a:extLst>
            <a:ext uri="{FF2B5EF4-FFF2-40B4-BE49-F238E27FC236}">
              <a16:creationId xmlns:a16="http://schemas.microsoft.com/office/drawing/2014/main" id="{0C54D6AF-A77F-4CCE-A6B2-961258BBB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603249</xdr:colOff>
      <xdr:row>57</xdr:row>
      <xdr:rowOff>95251</xdr:rowOff>
    </xdr:from>
    <xdr:to>
      <xdr:col>6</xdr:col>
      <xdr:colOff>253999</xdr:colOff>
      <xdr:row>75</xdr:row>
      <xdr:rowOff>182035</xdr:rowOff>
    </xdr:to>
    <xdr:graphicFrame macro="">
      <xdr:nvGraphicFramePr>
        <xdr:cNvPr id="34" name="Chart 33">
          <a:extLst>
            <a:ext uri="{FF2B5EF4-FFF2-40B4-BE49-F238E27FC236}">
              <a16:creationId xmlns:a16="http://schemas.microsoft.com/office/drawing/2014/main" id="{905BB70C-07DF-4BE4-832D-4AC5B085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296334</xdr:colOff>
      <xdr:row>57</xdr:row>
      <xdr:rowOff>169333</xdr:rowOff>
    </xdr:from>
    <xdr:to>
      <xdr:col>17</xdr:col>
      <xdr:colOff>229016</xdr:colOff>
      <xdr:row>76</xdr:row>
      <xdr:rowOff>10583</xdr:rowOff>
    </xdr:to>
    <xdr:graphicFrame macro="">
      <xdr:nvGraphicFramePr>
        <xdr:cNvPr id="36" name="Chart 35">
          <a:extLst>
            <a:ext uri="{FF2B5EF4-FFF2-40B4-BE49-F238E27FC236}">
              <a16:creationId xmlns:a16="http://schemas.microsoft.com/office/drawing/2014/main" id="{BAEC6CFE-CE29-4305-9013-5E9903B45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2429</xdr:colOff>
      <xdr:row>3</xdr:row>
      <xdr:rowOff>23597</xdr:rowOff>
    </xdr:from>
    <xdr:to>
      <xdr:col>4</xdr:col>
      <xdr:colOff>687049</xdr:colOff>
      <xdr:row>9</xdr:row>
      <xdr:rowOff>20821</xdr:rowOff>
    </xdr:to>
    <xdr:sp macro="" textlink="">
      <xdr:nvSpPr>
        <xdr:cNvPr id="4" name="TextBox 3">
          <a:extLst>
            <a:ext uri="{FF2B5EF4-FFF2-40B4-BE49-F238E27FC236}">
              <a16:creationId xmlns:a16="http://schemas.microsoft.com/office/drawing/2014/main" id="{D565EE3C-2D7C-ED3C-ED7A-7ACEA787FCAD}"/>
            </a:ext>
          </a:extLst>
        </xdr:cNvPr>
        <xdr:cNvSpPr txBox="1"/>
      </xdr:nvSpPr>
      <xdr:spPr>
        <a:xfrm>
          <a:off x="616609" y="585728"/>
          <a:ext cx="2527161" cy="1121486"/>
        </a:xfrm>
        <a:prstGeom prst="rect">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2800"/>
            <a:t>TOTAL ENTRIES:</a:t>
          </a:r>
        </a:p>
        <a:p>
          <a:r>
            <a:rPr lang="en-US" sz="2800"/>
            <a:t>376 ENTRIES</a:t>
          </a:r>
        </a:p>
        <a:p>
          <a:endParaRPr lang="en-US" sz="1100"/>
        </a:p>
        <a:p>
          <a:endParaRPr lang="en-NG" sz="1100"/>
        </a:p>
      </xdr:txBody>
    </xdr:sp>
    <xdr:clientData/>
  </xdr:twoCellAnchor>
  <xdr:twoCellAnchor>
    <xdr:from>
      <xdr:col>10</xdr:col>
      <xdr:colOff>176968</xdr:colOff>
      <xdr:row>3</xdr:row>
      <xdr:rowOff>2</xdr:rowOff>
    </xdr:from>
    <xdr:to>
      <xdr:col>14</xdr:col>
      <xdr:colOff>489261</xdr:colOff>
      <xdr:row>9</xdr:row>
      <xdr:rowOff>52050</xdr:rowOff>
    </xdr:to>
    <xdr:sp macro="" textlink="">
      <xdr:nvSpPr>
        <xdr:cNvPr id="8" name="TextBox 7">
          <a:extLst>
            <a:ext uri="{FF2B5EF4-FFF2-40B4-BE49-F238E27FC236}">
              <a16:creationId xmlns:a16="http://schemas.microsoft.com/office/drawing/2014/main" id="{66820A82-E1A1-4223-AB19-AB2A8340B74C}"/>
            </a:ext>
          </a:extLst>
        </xdr:cNvPr>
        <xdr:cNvSpPr txBox="1"/>
      </xdr:nvSpPr>
      <xdr:spPr>
        <a:xfrm>
          <a:off x="7078689" y="562133"/>
          <a:ext cx="2769015" cy="1176310"/>
        </a:xfrm>
        <a:prstGeom prst="rect">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endParaRPr lang="en-US" sz="1100"/>
        </a:p>
        <a:p>
          <a:pPr algn="l"/>
          <a:r>
            <a:rPr lang="en-US" sz="2800"/>
            <a:t>TOTAL STREAMS</a:t>
          </a:r>
          <a:r>
            <a:rPr lang="en-US" sz="2800" baseline="0"/>
            <a:t>:</a:t>
          </a:r>
        </a:p>
        <a:p>
          <a:pPr algn="l"/>
          <a:r>
            <a:rPr lang="en-US" sz="2800"/>
            <a:t>8042520783 </a:t>
          </a:r>
        </a:p>
        <a:p>
          <a:endParaRPr lang="en-NG" sz="2800"/>
        </a:p>
      </xdr:txBody>
    </xdr:sp>
    <xdr:clientData/>
  </xdr:twoCellAnchor>
  <xdr:twoCellAnchor>
    <xdr:from>
      <xdr:col>19</xdr:col>
      <xdr:colOff>593361</xdr:colOff>
      <xdr:row>3</xdr:row>
      <xdr:rowOff>10411</xdr:rowOff>
    </xdr:from>
    <xdr:to>
      <xdr:col>25</xdr:col>
      <xdr:colOff>571847</xdr:colOff>
      <xdr:row>9</xdr:row>
      <xdr:rowOff>31230</xdr:rowOff>
    </xdr:to>
    <xdr:sp macro="" textlink="">
      <xdr:nvSpPr>
        <xdr:cNvPr id="11" name="TextBox 10">
          <a:extLst>
            <a:ext uri="{FF2B5EF4-FFF2-40B4-BE49-F238E27FC236}">
              <a16:creationId xmlns:a16="http://schemas.microsoft.com/office/drawing/2014/main" id="{ABF1029B-E225-4DA5-B0BF-9E0135E62E8B}"/>
            </a:ext>
          </a:extLst>
        </xdr:cNvPr>
        <xdr:cNvSpPr txBox="1"/>
      </xdr:nvSpPr>
      <xdr:spPr>
        <a:xfrm>
          <a:off x="13022705" y="572542"/>
          <a:ext cx="3663568" cy="1145081"/>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7 STREAMED</a:t>
          </a:r>
          <a:r>
            <a:rPr lang="en-US" sz="2800" baseline="0"/>
            <a:t> SONGS</a:t>
          </a:r>
        </a:p>
        <a:p>
          <a:r>
            <a:rPr lang="en-US" sz="2800" baseline="0"/>
            <a:t>YEARS: 2017 - 2025</a:t>
          </a:r>
          <a:endParaRPr lang="en-US" sz="2800"/>
        </a:p>
        <a:p>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e Adanna" refreshedDate="46010.629610185184" createdVersion="8" refreshedVersion="8" minRefreshableVersion="3" recordCount="376" xr:uid="{FEA4CA04-FEE8-48B4-9567-FCE9F1DAFFAD}">
  <cacheSource type="worksheet">
    <worksheetSource name="Table1_1"/>
  </cacheSource>
  <cacheFields count="8">
    <cacheField name="date.1" numFmtId="14">
      <sharedItems containsSemiMixedTypes="0" containsNonDate="0" containsDate="1" containsString="0" minDate="2017-11-16T00:00:00" maxDate="2025-11-28T00:00:00" count="70">
        <d v="2017-11-16T00:00:00"/>
        <d v="2017-11-23T00:00:00"/>
        <d v="2017-11-30T00:00:00"/>
        <d v="2017-12-07T00:00:00"/>
        <d v="2017-12-14T00:00:00"/>
        <d v="2017-12-21T00:00:00"/>
        <d v="2017-12-28T00:00:00"/>
        <d v="2018-11-15T00:00:00"/>
        <d v="2018-11-22T00:00:00"/>
        <d v="2018-11-29T00:00:00"/>
        <d v="2018-12-06T00:00:00"/>
        <d v="2018-12-13T00:00:00"/>
        <d v="2018-12-20T00:00:00"/>
        <d v="2018-12-27T00:00:00"/>
        <d v="2019-11-07T00:00:00"/>
        <d v="2019-11-14T00:00:00"/>
        <d v="2019-11-21T00:00:00"/>
        <d v="2019-11-28T00:00:00"/>
        <d v="2019-12-05T00:00:00"/>
        <d v="2019-12-12T00:00:00"/>
        <d v="2019-12-19T00:00:00"/>
        <d v="2019-12-26T00:00:00"/>
        <d v="2020-01-02T00:00:00"/>
        <d v="2020-11-05T00:00:00"/>
        <d v="2020-11-12T00:00:00"/>
        <d v="2020-11-19T00:00:00"/>
        <d v="2020-11-26T00:00:00"/>
        <d v="2020-12-03T00:00:00"/>
        <d v="2020-12-10T00:00:00"/>
        <d v="2020-12-17T00:00:00"/>
        <d v="2020-12-24T00:00:00"/>
        <d v="2020-12-31T00:00:00"/>
        <d v="2021-11-11T00:00:00"/>
        <d v="2021-11-18T00:00:00"/>
        <d v="2021-11-25T00:00:00"/>
        <d v="2021-12-02T00:00:00"/>
        <d v="2021-12-09T00:00:00"/>
        <d v="2021-12-16T00:00:00"/>
        <d v="2021-12-23T00:00:00"/>
        <d v="2021-12-30T00:00:00"/>
        <d v="2022-11-10T00:00:00"/>
        <d v="2022-11-17T00:00:00"/>
        <d v="2022-11-24T00:00:00"/>
        <d v="2022-12-01T00:00:00"/>
        <d v="2022-12-08T00:00:00"/>
        <d v="2022-12-15T00:00:00"/>
        <d v="2022-12-22T00:00:00"/>
        <d v="2022-12-29T00:00:00"/>
        <d v="2023-11-09T00:00:00"/>
        <d v="2023-11-16T00:00:00"/>
        <d v="2023-11-23T00:00:00"/>
        <d v="2023-11-30T00:00:00"/>
        <d v="2023-12-07T00:00:00"/>
        <d v="2023-12-14T00:00:00"/>
        <d v="2023-12-21T00:00:00"/>
        <d v="2023-12-28T00:00:00"/>
        <d v="2024-01-04T00:00:00"/>
        <d v="2024-11-07T00:00:00"/>
        <d v="2024-11-14T00:00:00"/>
        <d v="2024-11-21T00:00:00"/>
        <d v="2024-11-28T00:00:00"/>
        <d v="2024-12-05T00:00:00"/>
        <d v="2024-12-12T00:00:00"/>
        <d v="2024-12-19T00:00:00"/>
        <d v="2024-12-26T00:00:00"/>
        <d v="2025-01-02T00:00:00"/>
        <d v="2025-11-06T00:00:00"/>
        <d v="2025-11-13T00:00:00"/>
        <d v="2025-11-20T00:00:00"/>
        <d v="2025-11-27T00:00:00"/>
      </sharedItems>
      <fieldGroup par="7"/>
    </cacheField>
    <cacheField name="track" numFmtId="0">
      <sharedItems count="7">
        <s v="All I Want for Christmas Is You"/>
        <s v="Last Christmas"/>
        <s v="It's Beginning to Look a Lot Like Christmas"/>
        <s v="Rockin' Around the Christmas Tree"/>
        <s v="Santa Tell Me"/>
        <s v="Feliz Navidad"/>
        <s v="Jingle Bell Rock"/>
      </sharedItems>
    </cacheField>
    <cacheField name="artist" numFmtId="0">
      <sharedItems count="7">
        <s v="Mariah Carey"/>
        <s v="Wham!"/>
        <s v="Michael BublÃ©"/>
        <s v="Brenda Lee"/>
        <s v="Ariana Grande"/>
        <s v="JosÃ© Feliciano"/>
        <s v="Bobby Helms"/>
      </sharedItems>
    </cacheField>
    <cacheField name="streams" numFmtId="0">
      <sharedItems containsSemiMixedTypes="0" containsString="0" containsNumber="1" containsInteger="1" minValue="3821572" maxValue="92506541"/>
    </cacheField>
    <cacheField name="week_of_year" numFmtId="0">
      <sharedItems containsSemiMixedTypes="0" containsString="0" containsNumber="1" containsInteger="1" minValue="1" maxValue="54" count="11">
        <n v="46"/>
        <n v="47"/>
        <n v="48"/>
        <n v="49"/>
        <n v="50"/>
        <n v="51"/>
        <n v="52"/>
        <n v="45"/>
        <n v="54"/>
        <n v="53"/>
        <n v="1" u="1"/>
      </sharedItems>
    </cacheField>
    <cacheField name="Months (date.1)" numFmtId="0" databaseField="0">
      <fieldGroup base="0">
        <rangePr groupBy="months" startDate="2017-11-16T00:00:00" endDate="2025-11-28T00:00:00"/>
        <groupItems count="14">
          <s v="&lt;16/11/2017"/>
          <s v="Jan"/>
          <s v="Feb"/>
          <s v="Mar"/>
          <s v="Apr"/>
          <s v="May"/>
          <s v="Jun"/>
          <s v="Jul"/>
          <s v="Aug"/>
          <s v="Sept"/>
          <s v="Oct"/>
          <s v="Nov"/>
          <s v="Dec"/>
          <s v="&gt;28/11/2025"/>
        </groupItems>
      </fieldGroup>
    </cacheField>
    <cacheField name="Quarters (date.1)" numFmtId="0" databaseField="0">
      <fieldGroup base="0">
        <rangePr groupBy="quarters" startDate="2017-11-16T00:00:00" endDate="2025-11-28T00:00:00"/>
        <groupItems count="6">
          <s v="&lt;16/11/2017"/>
          <s v="Qtr1"/>
          <s v="Qtr2"/>
          <s v="Qtr3"/>
          <s v="Qtr4"/>
          <s v="&gt;28/11/2025"/>
        </groupItems>
      </fieldGroup>
    </cacheField>
    <cacheField name="Years (date.1)" numFmtId="0" databaseField="0">
      <fieldGroup base="0">
        <rangePr groupBy="years" startDate="2017-11-16T00:00:00" endDate="2025-11-28T00:00:00"/>
        <groupItems count="11">
          <s v="&lt;16/11/2017"/>
          <s v="2017"/>
          <s v="2018"/>
          <s v="2019"/>
          <s v="2020"/>
          <s v="2021"/>
          <s v="2022"/>
          <s v="2023"/>
          <s v="2024"/>
          <s v="2025"/>
          <s v="&gt;28/11/2025"/>
        </groupItems>
      </fieldGroup>
    </cacheField>
  </cacheFields>
  <extLst>
    <ext xmlns:x14="http://schemas.microsoft.com/office/spreadsheetml/2009/9/main" uri="{725AE2AE-9491-48be-B2B4-4EB974FC3084}">
      <x14:pivotCacheDefinition pivotCacheId="467726372"/>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6">
  <r>
    <x v="0"/>
    <x v="0"/>
    <x v="0"/>
    <n v="3821572"/>
    <x v="0"/>
  </r>
  <r>
    <x v="1"/>
    <x v="0"/>
    <x v="0"/>
    <n v="6130250"/>
    <x v="1"/>
  </r>
  <r>
    <x v="1"/>
    <x v="1"/>
    <x v="1"/>
    <n v="4040197"/>
    <x v="1"/>
  </r>
  <r>
    <x v="2"/>
    <x v="0"/>
    <x v="0"/>
    <n v="11641888"/>
    <x v="2"/>
  </r>
  <r>
    <x v="2"/>
    <x v="2"/>
    <x v="2"/>
    <n v="4577042"/>
    <x v="2"/>
  </r>
  <r>
    <x v="2"/>
    <x v="1"/>
    <x v="1"/>
    <n v="7133652"/>
    <x v="2"/>
  </r>
  <r>
    <x v="2"/>
    <x v="3"/>
    <x v="3"/>
    <n v="4423222"/>
    <x v="2"/>
  </r>
  <r>
    <x v="2"/>
    <x v="4"/>
    <x v="4"/>
    <n v="4221612"/>
    <x v="2"/>
  </r>
  <r>
    <x v="3"/>
    <x v="0"/>
    <x v="0"/>
    <n v="19808428"/>
    <x v="3"/>
  </r>
  <r>
    <x v="3"/>
    <x v="5"/>
    <x v="5"/>
    <n v="4780300"/>
    <x v="3"/>
  </r>
  <r>
    <x v="3"/>
    <x v="2"/>
    <x v="2"/>
    <n v="8172327"/>
    <x v="3"/>
  </r>
  <r>
    <x v="3"/>
    <x v="1"/>
    <x v="1"/>
    <n v="13594807"/>
    <x v="3"/>
  </r>
  <r>
    <x v="3"/>
    <x v="3"/>
    <x v="3"/>
    <n v="6903809"/>
    <x v="3"/>
  </r>
  <r>
    <x v="3"/>
    <x v="4"/>
    <x v="4"/>
    <n v="7521462"/>
    <x v="3"/>
  </r>
  <r>
    <x v="4"/>
    <x v="0"/>
    <x v="0"/>
    <n v="21535828"/>
    <x v="4"/>
  </r>
  <r>
    <x v="4"/>
    <x v="5"/>
    <x v="5"/>
    <n v="5436759"/>
    <x v="4"/>
  </r>
  <r>
    <x v="4"/>
    <x v="2"/>
    <x v="2"/>
    <n v="9148642"/>
    <x v="4"/>
  </r>
  <r>
    <x v="4"/>
    <x v="1"/>
    <x v="1"/>
    <n v="14990547"/>
    <x v="4"/>
  </r>
  <r>
    <x v="4"/>
    <x v="3"/>
    <x v="3"/>
    <n v="7888911"/>
    <x v="4"/>
  </r>
  <r>
    <x v="4"/>
    <x v="4"/>
    <x v="4"/>
    <n v="8590324"/>
    <x v="4"/>
  </r>
  <r>
    <x v="5"/>
    <x v="0"/>
    <x v="0"/>
    <n v="23318198"/>
    <x v="5"/>
  </r>
  <r>
    <x v="5"/>
    <x v="5"/>
    <x v="5"/>
    <n v="6030397"/>
    <x v="5"/>
  </r>
  <r>
    <x v="5"/>
    <x v="2"/>
    <x v="2"/>
    <n v="10104650"/>
    <x v="5"/>
  </r>
  <r>
    <x v="5"/>
    <x v="6"/>
    <x v="6"/>
    <n v="6469998"/>
    <x v="5"/>
  </r>
  <r>
    <x v="5"/>
    <x v="1"/>
    <x v="1"/>
    <n v="16218650"/>
    <x v="5"/>
  </r>
  <r>
    <x v="5"/>
    <x v="3"/>
    <x v="3"/>
    <n v="8760279"/>
    <x v="5"/>
  </r>
  <r>
    <x v="5"/>
    <x v="4"/>
    <x v="4"/>
    <n v="8712246"/>
    <x v="5"/>
  </r>
  <r>
    <x v="6"/>
    <x v="0"/>
    <x v="0"/>
    <n v="27628914"/>
    <x v="6"/>
  </r>
  <r>
    <x v="6"/>
    <x v="5"/>
    <x v="5"/>
    <n v="9296091"/>
    <x v="6"/>
  </r>
  <r>
    <x v="6"/>
    <x v="2"/>
    <x v="2"/>
    <n v="13357262"/>
    <x v="6"/>
  </r>
  <r>
    <x v="6"/>
    <x v="6"/>
    <x v="6"/>
    <n v="9781597"/>
    <x v="6"/>
  </r>
  <r>
    <x v="6"/>
    <x v="1"/>
    <x v="1"/>
    <n v="21543828"/>
    <x v="6"/>
  </r>
  <r>
    <x v="6"/>
    <x v="3"/>
    <x v="3"/>
    <n v="11900150"/>
    <x v="6"/>
  </r>
  <r>
    <x v="6"/>
    <x v="4"/>
    <x v="4"/>
    <n v="11977857"/>
    <x v="6"/>
  </r>
  <r>
    <x v="7"/>
    <x v="0"/>
    <x v="0"/>
    <n v="5967226"/>
    <x v="0"/>
  </r>
  <r>
    <x v="8"/>
    <x v="0"/>
    <x v="0"/>
    <n v="9371356"/>
    <x v="1"/>
  </r>
  <r>
    <x v="8"/>
    <x v="2"/>
    <x v="2"/>
    <n v="4139746"/>
    <x v="1"/>
  </r>
  <r>
    <x v="8"/>
    <x v="1"/>
    <x v="1"/>
    <n v="5648833"/>
    <x v="1"/>
  </r>
  <r>
    <x v="8"/>
    <x v="3"/>
    <x v="3"/>
    <n v="4296514"/>
    <x v="1"/>
  </r>
  <r>
    <x v="8"/>
    <x v="4"/>
    <x v="4"/>
    <n v="4938848"/>
    <x v="1"/>
  </r>
  <r>
    <x v="9"/>
    <x v="0"/>
    <x v="0"/>
    <n v="14533064"/>
    <x v="2"/>
  </r>
  <r>
    <x v="9"/>
    <x v="2"/>
    <x v="2"/>
    <n v="6955231"/>
    <x v="2"/>
  </r>
  <r>
    <x v="9"/>
    <x v="6"/>
    <x v="6"/>
    <n v="7220464"/>
    <x v="2"/>
  </r>
  <r>
    <x v="9"/>
    <x v="1"/>
    <x v="1"/>
    <n v="9198949"/>
    <x v="2"/>
  </r>
  <r>
    <x v="9"/>
    <x v="3"/>
    <x v="3"/>
    <n v="7409688"/>
    <x v="2"/>
  </r>
  <r>
    <x v="9"/>
    <x v="4"/>
    <x v="4"/>
    <n v="9078130"/>
    <x v="2"/>
  </r>
  <r>
    <x v="10"/>
    <x v="0"/>
    <x v="0"/>
    <n v="24036955"/>
    <x v="3"/>
  </r>
  <r>
    <x v="10"/>
    <x v="5"/>
    <x v="5"/>
    <n v="6412898"/>
    <x v="3"/>
  </r>
  <r>
    <x v="10"/>
    <x v="2"/>
    <x v="2"/>
    <n v="13014838"/>
    <x v="3"/>
  </r>
  <r>
    <x v="10"/>
    <x v="6"/>
    <x v="6"/>
    <n v="12304877"/>
    <x v="3"/>
  </r>
  <r>
    <x v="10"/>
    <x v="1"/>
    <x v="1"/>
    <n v="16058707"/>
    <x v="3"/>
  </r>
  <r>
    <x v="10"/>
    <x v="3"/>
    <x v="3"/>
    <n v="11609964"/>
    <x v="3"/>
  </r>
  <r>
    <x v="10"/>
    <x v="4"/>
    <x v="4"/>
    <n v="16471103"/>
    <x v="3"/>
  </r>
  <r>
    <x v="11"/>
    <x v="0"/>
    <x v="0"/>
    <n v="23468009"/>
    <x v="4"/>
  </r>
  <r>
    <x v="11"/>
    <x v="5"/>
    <x v="5"/>
    <n v="7233202"/>
    <x v="4"/>
  </r>
  <r>
    <x v="11"/>
    <x v="2"/>
    <x v="2"/>
    <n v="14210646"/>
    <x v="4"/>
  </r>
  <r>
    <x v="11"/>
    <x v="6"/>
    <x v="6"/>
    <n v="13163696"/>
    <x v="4"/>
  </r>
  <r>
    <x v="11"/>
    <x v="1"/>
    <x v="1"/>
    <n v="18720379"/>
    <x v="4"/>
  </r>
  <r>
    <x v="11"/>
    <x v="3"/>
    <x v="3"/>
    <n v="12622908"/>
    <x v="4"/>
  </r>
  <r>
    <x v="11"/>
    <x v="4"/>
    <x v="4"/>
    <n v="14934312"/>
    <x v="4"/>
  </r>
  <r>
    <x v="12"/>
    <x v="0"/>
    <x v="0"/>
    <n v="26819265"/>
    <x v="5"/>
  </r>
  <r>
    <x v="12"/>
    <x v="5"/>
    <x v="5"/>
    <n v="8326667"/>
    <x v="5"/>
  </r>
  <r>
    <x v="12"/>
    <x v="2"/>
    <x v="2"/>
    <n v="15912361"/>
    <x v="5"/>
  </r>
  <r>
    <x v="12"/>
    <x v="6"/>
    <x v="6"/>
    <n v="14601397"/>
    <x v="5"/>
  </r>
  <r>
    <x v="12"/>
    <x v="1"/>
    <x v="1"/>
    <n v="21408808"/>
    <x v="5"/>
  </r>
  <r>
    <x v="12"/>
    <x v="3"/>
    <x v="3"/>
    <n v="14462557"/>
    <x v="5"/>
  </r>
  <r>
    <x v="12"/>
    <x v="4"/>
    <x v="4"/>
    <n v="18210221"/>
    <x v="5"/>
  </r>
  <r>
    <x v="13"/>
    <x v="0"/>
    <x v="0"/>
    <n v="39567108"/>
    <x v="6"/>
  </r>
  <r>
    <x v="13"/>
    <x v="5"/>
    <x v="5"/>
    <n v="14719120"/>
    <x v="6"/>
  </r>
  <r>
    <x v="13"/>
    <x v="2"/>
    <x v="2"/>
    <n v="24492004"/>
    <x v="6"/>
  </r>
  <r>
    <x v="13"/>
    <x v="6"/>
    <x v="6"/>
    <n v="22414165"/>
    <x v="6"/>
  </r>
  <r>
    <x v="13"/>
    <x v="1"/>
    <x v="1"/>
    <n v="32326595"/>
    <x v="6"/>
  </r>
  <r>
    <x v="13"/>
    <x v="3"/>
    <x v="3"/>
    <n v="22360872"/>
    <x v="6"/>
  </r>
  <r>
    <x v="13"/>
    <x v="4"/>
    <x v="4"/>
    <n v="26841408"/>
    <x v="6"/>
  </r>
  <r>
    <x v="14"/>
    <x v="0"/>
    <x v="0"/>
    <n v="5005576"/>
    <x v="7"/>
  </r>
  <r>
    <x v="15"/>
    <x v="0"/>
    <x v="0"/>
    <n v="6570623"/>
    <x v="0"/>
  </r>
  <r>
    <x v="15"/>
    <x v="1"/>
    <x v="1"/>
    <n v="4795477"/>
    <x v="0"/>
  </r>
  <r>
    <x v="16"/>
    <x v="0"/>
    <x v="0"/>
    <n v="8344450"/>
    <x v="1"/>
  </r>
  <r>
    <x v="16"/>
    <x v="1"/>
    <x v="1"/>
    <n v="6166454"/>
    <x v="1"/>
  </r>
  <r>
    <x v="16"/>
    <x v="4"/>
    <x v="4"/>
    <n v="5121609"/>
    <x v="1"/>
  </r>
  <r>
    <x v="17"/>
    <x v="0"/>
    <x v="0"/>
    <n v="12612693"/>
    <x v="2"/>
  </r>
  <r>
    <x v="17"/>
    <x v="2"/>
    <x v="2"/>
    <n v="6183295"/>
    <x v="2"/>
  </r>
  <r>
    <x v="17"/>
    <x v="6"/>
    <x v="6"/>
    <n v="5558342"/>
    <x v="2"/>
  </r>
  <r>
    <x v="17"/>
    <x v="1"/>
    <x v="1"/>
    <n v="9167657"/>
    <x v="2"/>
  </r>
  <r>
    <x v="17"/>
    <x v="3"/>
    <x v="3"/>
    <n v="5588808"/>
    <x v="2"/>
  </r>
  <r>
    <x v="17"/>
    <x v="4"/>
    <x v="4"/>
    <n v="7367685"/>
    <x v="2"/>
  </r>
  <r>
    <x v="18"/>
    <x v="0"/>
    <x v="0"/>
    <n v="22394175"/>
    <x v="3"/>
  </r>
  <r>
    <x v="18"/>
    <x v="5"/>
    <x v="5"/>
    <n v="7517050"/>
    <x v="3"/>
  </r>
  <r>
    <x v="18"/>
    <x v="2"/>
    <x v="2"/>
    <n v="12258394"/>
    <x v="3"/>
  </r>
  <r>
    <x v="18"/>
    <x v="6"/>
    <x v="6"/>
    <n v="10901943"/>
    <x v="3"/>
  </r>
  <r>
    <x v="18"/>
    <x v="1"/>
    <x v="1"/>
    <n v="17615075"/>
    <x v="3"/>
  </r>
  <r>
    <x v="18"/>
    <x v="3"/>
    <x v="3"/>
    <n v="11155568"/>
    <x v="3"/>
  </r>
  <r>
    <x v="18"/>
    <x v="4"/>
    <x v="4"/>
    <n v="14107437"/>
    <x v="3"/>
  </r>
  <r>
    <x v="19"/>
    <x v="0"/>
    <x v="0"/>
    <n v="24024043"/>
    <x v="4"/>
  </r>
  <r>
    <x v="19"/>
    <x v="5"/>
    <x v="5"/>
    <n v="8691550"/>
    <x v="4"/>
  </r>
  <r>
    <x v="19"/>
    <x v="2"/>
    <x v="2"/>
    <n v="13521227"/>
    <x v="4"/>
  </r>
  <r>
    <x v="19"/>
    <x v="6"/>
    <x v="6"/>
    <n v="12457545"/>
    <x v="4"/>
  </r>
  <r>
    <x v="19"/>
    <x v="1"/>
    <x v="1"/>
    <n v="19402441"/>
    <x v="4"/>
  </r>
  <r>
    <x v="19"/>
    <x v="3"/>
    <x v="3"/>
    <n v="12756056"/>
    <x v="4"/>
  </r>
  <r>
    <x v="19"/>
    <x v="4"/>
    <x v="4"/>
    <n v="15382577"/>
    <x v="4"/>
  </r>
  <r>
    <x v="20"/>
    <x v="0"/>
    <x v="0"/>
    <n v="27155209"/>
    <x v="5"/>
  </r>
  <r>
    <x v="20"/>
    <x v="5"/>
    <x v="5"/>
    <n v="10286298"/>
    <x v="5"/>
  </r>
  <r>
    <x v="20"/>
    <x v="2"/>
    <x v="2"/>
    <n v="14847978"/>
    <x v="5"/>
  </r>
  <r>
    <x v="20"/>
    <x v="6"/>
    <x v="6"/>
    <n v="14040340"/>
    <x v="5"/>
  </r>
  <r>
    <x v="20"/>
    <x v="1"/>
    <x v="1"/>
    <n v="21975011"/>
    <x v="5"/>
  </r>
  <r>
    <x v="20"/>
    <x v="3"/>
    <x v="3"/>
    <n v="14078309"/>
    <x v="5"/>
  </r>
  <r>
    <x v="20"/>
    <x v="4"/>
    <x v="4"/>
    <n v="17011748"/>
    <x v="5"/>
  </r>
  <r>
    <x v="21"/>
    <x v="0"/>
    <x v="0"/>
    <n v="45828931"/>
    <x v="6"/>
  </r>
  <r>
    <x v="21"/>
    <x v="5"/>
    <x v="5"/>
    <n v="20300178"/>
    <x v="6"/>
  </r>
  <r>
    <x v="21"/>
    <x v="2"/>
    <x v="2"/>
    <n v="25997383"/>
    <x v="6"/>
  </r>
  <r>
    <x v="21"/>
    <x v="6"/>
    <x v="6"/>
    <n v="24951120"/>
    <x v="6"/>
  </r>
  <r>
    <x v="21"/>
    <x v="1"/>
    <x v="1"/>
    <n v="37725693"/>
    <x v="6"/>
  </r>
  <r>
    <x v="21"/>
    <x v="3"/>
    <x v="3"/>
    <n v="24401078"/>
    <x v="6"/>
  </r>
  <r>
    <x v="21"/>
    <x v="4"/>
    <x v="4"/>
    <n v="27506141"/>
    <x v="6"/>
  </r>
  <r>
    <x v="22"/>
    <x v="0"/>
    <x v="0"/>
    <n v="5241737"/>
    <x v="8"/>
  </r>
  <r>
    <x v="23"/>
    <x v="0"/>
    <x v="0"/>
    <n v="5008815"/>
    <x v="7"/>
  </r>
  <r>
    <x v="24"/>
    <x v="0"/>
    <x v="0"/>
    <n v="7130162"/>
    <x v="0"/>
  </r>
  <r>
    <x v="24"/>
    <x v="1"/>
    <x v="1"/>
    <n v="5385394"/>
    <x v="0"/>
  </r>
  <r>
    <x v="25"/>
    <x v="0"/>
    <x v="0"/>
    <n v="10710928"/>
    <x v="1"/>
  </r>
  <r>
    <x v="25"/>
    <x v="2"/>
    <x v="2"/>
    <n v="6347297"/>
    <x v="1"/>
  </r>
  <r>
    <x v="25"/>
    <x v="6"/>
    <x v="6"/>
    <n v="6085366"/>
    <x v="1"/>
  </r>
  <r>
    <x v="25"/>
    <x v="1"/>
    <x v="1"/>
    <n v="8260126"/>
    <x v="1"/>
  </r>
  <r>
    <x v="25"/>
    <x v="3"/>
    <x v="3"/>
    <n v="6245707"/>
    <x v="1"/>
  </r>
  <r>
    <x v="25"/>
    <x v="4"/>
    <x v="4"/>
    <n v="7008578"/>
    <x v="1"/>
  </r>
  <r>
    <x v="26"/>
    <x v="0"/>
    <x v="0"/>
    <n v="17049383"/>
    <x v="2"/>
  </r>
  <r>
    <x v="26"/>
    <x v="5"/>
    <x v="5"/>
    <n v="5829640"/>
    <x v="2"/>
  </r>
  <r>
    <x v="26"/>
    <x v="2"/>
    <x v="2"/>
    <n v="10582983"/>
    <x v="2"/>
  </r>
  <r>
    <x v="26"/>
    <x v="6"/>
    <x v="6"/>
    <n v="9678255"/>
    <x v="2"/>
  </r>
  <r>
    <x v="26"/>
    <x v="1"/>
    <x v="1"/>
    <n v="13660931"/>
    <x v="2"/>
  </r>
  <r>
    <x v="26"/>
    <x v="3"/>
    <x v="3"/>
    <n v="9913441"/>
    <x v="2"/>
  </r>
  <r>
    <x v="26"/>
    <x v="4"/>
    <x v="4"/>
    <n v="11284097"/>
    <x v="2"/>
  </r>
  <r>
    <x v="27"/>
    <x v="0"/>
    <x v="0"/>
    <n v="28851001"/>
    <x v="3"/>
  </r>
  <r>
    <x v="27"/>
    <x v="5"/>
    <x v="5"/>
    <n v="11016398"/>
    <x v="3"/>
  </r>
  <r>
    <x v="27"/>
    <x v="2"/>
    <x v="2"/>
    <n v="19245044"/>
    <x v="3"/>
  </r>
  <r>
    <x v="27"/>
    <x v="6"/>
    <x v="6"/>
    <n v="17455348"/>
    <x v="3"/>
  </r>
  <r>
    <x v="27"/>
    <x v="1"/>
    <x v="1"/>
    <n v="24561977"/>
    <x v="3"/>
  </r>
  <r>
    <x v="27"/>
    <x v="3"/>
    <x v="3"/>
    <n v="17910786"/>
    <x v="3"/>
  </r>
  <r>
    <x v="27"/>
    <x v="4"/>
    <x v="4"/>
    <n v="20098148"/>
    <x v="3"/>
  </r>
  <r>
    <x v="28"/>
    <x v="0"/>
    <x v="0"/>
    <n v="33463486"/>
    <x v="4"/>
  </r>
  <r>
    <x v="28"/>
    <x v="5"/>
    <x v="5"/>
    <n v="13437547"/>
    <x v="4"/>
  </r>
  <r>
    <x v="28"/>
    <x v="2"/>
    <x v="2"/>
    <n v="22257026"/>
    <x v="4"/>
  </r>
  <r>
    <x v="28"/>
    <x v="6"/>
    <x v="6"/>
    <n v="20577119"/>
    <x v="4"/>
  </r>
  <r>
    <x v="28"/>
    <x v="1"/>
    <x v="1"/>
    <n v="28540616"/>
    <x v="4"/>
  </r>
  <r>
    <x v="28"/>
    <x v="3"/>
    <x v="3"/>
    <n v="21702857"/>
    <x v="4"/>
  </r>
  <r>
    <x v="28"/>
    <x v="4"/>
    <x v="4"/>
    <n v="23873167"/>
    <x v="4"/>
  </r>
  <r>
    <x v="29"/>
    <x v="0"/>
    <x v="0"/>
    <n v="32556355"/>
    <x v="5"/>
  </r>
  <r>
    <x v="29"/>
    <x v="5"/>
    <x v="5"/>
    <n v="14043735"/>
    <x v="5"/>
  </r>
  <r>
    <x v="29"/>
    <x v="2"/>
    <x v="2"/>
    <n v="21728075"/>
    <x v="5"/>
  </r>
  <r>
    <x v="29"/>
    <x v="6"/>
    <x v="6"/>
    <n v="21034789"/>
    <x v="5"/>
  </r>
  <r>
    <x v="29"/>
    <x v="1"/>
    <x v="1"/>
    <n v="28682836"/>
    <x v="5"/>
  </r>
  <r>
    <x v="29"/>
    <x v="3"/>
    <x v="3"/>
    <n v="22518877"/>
    <x v="5"/>
  </r>
  <r>
    <x v="29"/>
    <x v="4"/>
    <x v="4"/>
    <n v="23649501"/>
    <x v="5"/>
  </r>
  <r>
    <x v="30"/>
    <x v="0"/>
    <x v="0"/>
    <n v="53401383"/>
    <x v="6"/>
  </r>
  <r>
    <x v="30"/>
    <x v="5"/>
    <x v="5"/>
    <n v="24517609"/>
    <x v="6"/>
  </r>
  <r>
    <x v="30"/>
    <x v="2"/>
    <x v="2"/>
    <n v="36227377"/>
    <x v="6"/>
  </r>
  <r>
    <x v="30"/>
    <x v="6"/>
    <x v="6"/>
    <n v="36117097"/>
    <x v="6"/>
  </r>
  <r>
    <x v="30"/>
    <x v="1"/>
    <x v="1"/>
    <n v="48011162"/>
    <x v="6"/>
  </r>
  <r>
    <x v="30"/>
    <x v="3"/>
    <x v="3"/>
    <n v="37323134"/>
    <x v="6"/>
  </r>
  <r>
    <x v="30"/>
    <x v="4"/>
    <x v="4"/>
    <n v="38503261"/>
    <x v="6"/>
  </r>
  <r>
    <x v="31"/>
    <x v="0"/>
    <x v="0"/>
    <n v="23235257"/>
    <x v="9"/>
  </r>
  <r>
    <x v="31"/>
    <x v="5"/>
    <x v="5"/>
    <n v="11664490"/>
    <x v="9"/>
  </r>
  <r>
    <x v="31"/>
    <x v="2"/>
    <x v="2"/>
    <n v="15424001"/>
    <x v="9"/>
  </r>
  <r>
    <x v="31"/>
    <x v="6"/>
    <x v="6"/>
    <n v="16527404"/>
    <x v="9"/>
  </r>
  <r>
    <x v="31"/>
    <x v="1"/>
    <x v="1"/>
    <n v="20709328"/>
    <x v="9"/>
  </r>
  <r>
    <x v="31"/>
    <x v="3"/>
    <x v="3"/>
    <n v="16613649"/>
    <x v="9"/>
  </r>
  <r>
    <x v="31"/>
    <x v="4"/>
    <x v="4"/>
    <n v="16657592"/>
    <x v="9"/>
  </r>
  <r>
    <x v="32"/>
    <x v="0"/>
    <x v="0"/>
    <n v="6622750"/>
    <x v="7"/>
  </r>
  <r>
    <x v="33"/>
    <x v="0"/>
    <x v="0"/>
    <n v="8932970"/>
    <x v="0"/>
  </r>
  <r>
    <x v="33"/>
    <x v="1"/>
    <x v="1"/>
    <n v="6197013"/>
    <x v="0"/>
  </r>
  <r>
    <x v="34"/>
    <x v="0"/>
    <x v="0"/>
    <n v="13419806"/>
    <x v="1"/>
  </r>
  <r>
    <x v="34"/>
    <x v="2"/>
    <x v="2"/>
    <n v="8230538"/>
    <x v="1"/>
  </r>
  <r>
    <x v="34"/>
    <x v="6"/>
    <x v="6"/>
    <n v="7804649"/>
    <x v="1"/>
  </r>
  <r>
    <x v="34"/>
    <x v="1"/>
    <x v="1"/>
    <n v="9852395"/>
    <x v="1"/>
  </r>
  <r>
    <x v="34"/>
    <x v="3"/>
    <x v="3"/>
    <n v="7417614"/>
    <x v="1"/>
  </r>
  <r>
    <x v="34"/>
    <x v="4"/>
    <x v="4"/>
    <n v="7168631"/>
    <x v="1"/>
  </r>
  <r>
    <x v="35"/>
    <x v="0"/>
    <x v="0"/>
    <n v="24176108"/>
    <x v="2"/>
  </r>
  <r>
    <x v="35"/>
    <x v="5"/>
    <x v="5"/>
    <n v="10073595"/>
    <x v="2"/>
  </r>
  <r>
    <x v="35"/>
    <x v="2"/>
    <x v="2"/>
    <n v="15504798"/>
    <x v="2"/>
  </r>
  <r>
    <x v="35"/>
    <x v="6"/>
    <x v="6"/>
    <n v="14983449"/>
    <x v="2"/>
  </r>
  <r>
    <x v="35"/>
    <x v="1"/>
    <x v="1"/>
    <n v="19349663"/>
    <x v="2"/>
  </r>
  <r>
    <x v="35"/>
    <x v="3"/>
    <x v="3"/>
    <n v="14460190"/>
    <x v="2"/>
  </r>
  <r>
    <x v="35"/>
    <x v="4"/>
    <x v="4"/>
    <n v="13437236"/>
    <x v="2"/>
  </r>
  <r>
    <x v="36"/>
    <x v="0"/>
    <x v="0"/>
    <n v="30344322"/>
    <x v="3"/>
  </r>
  <r>
    <x v="36"/>
    <x v="5"/>
    <x v="5"/>
    <n v="13402203"/>
    <x v="3"/>
  </r>
  <r>
    <x v="36"/>
    <x v="2"/>
    <x v="2"/>
    <n v="19902694"/>
    <x v="3"/>
  </r>
  <r>
    <x v="36"/>
    <x v="6"/>
    <x v="6"/>
    <n v="19754610"/>
    <x v="3"/>
  </r>
  <r>
    <x v="36"/>
    <x v="1"/>
    <x v="1"/>
    <n v="24943790"/>
    <x v="3"/>
  </r>
  <r>
    <x v="36"/>
    <x v="3"/>
    <x v="3"/>
    <n v="19430205"/>
    <x v="3"/>
  </r>
  <r>
    <x v="36"/>
    <x v="4"/>
    <x v="4"/>
    <n v="17670168"/>
    <x v="3"/>
  </r>
  <r>
    <x v="37"/>
    <x v="0"/>
    <x v="0"/>
    <n v="32175593"/>
    <x v="4"/>
  </r>
  <r>
    <x v="37"/>
    <x v="5"/>
    <x v="5"/>
    <n v="15099567"/>
    <x v="4"/>
  </r>
  <r>
    <x v="37"/>
    <x v="2"/>
    <x v="2"/>
    <n v="21259884"/>
    <x v="4"/>
  </r>
  <r>
    <x v="37"/>
    <x v="6"/>
    <x v="6"/>
    <n v="21479503"/>
    <x v="4"/>
  </r>
  <r>
    <x v="37"/>
    <x v="1"/>
    <x v="1"/>
    <n v="27077848"/>
    <x v="4"/>
  </r>
  <r>
    <x v="37"/>
    <x v="3"/>
    <x v="3"/>
    <n v="22095540"/>
    <x v="4"/>
  </r>
  <r>
    <x v="37"/>
    <x v="4"/>
    <x v="4"/>
    <n v="19655526"/>
    <x v="4"/>
  </r>
  <r>
    <x v="38"/>
    <x v="0"/>
    <x v="0"/>
    <n v="41518285"/>
    <x v="5"/>
  </r>
  <r>
    <x v="38"/>
    <x v="5"/>
    <x v="5"/>
    <n v="20663443"/>
    <x v="5"/>
  </r>
  <r>
    <x v="38"/>
    <x v="2"/>
    <x v="2"/>
    <n v="27551436"/>
    <x v="5"/>
  </r>
  <r>
    <x v="38"/>
    <x v="6"/>
    <x v="6"/>
    <n v="28959509"/>
    <x v="5"/>
  </r>
  <r>
    <x v="38"/>
    <x v="1"/>
    <x v="1"/>
    <n v="36107065"/>
    <x v="5"/>
  </r>
  <r>
    <x v="38"/>
    <x v="3"/>
    <x v="3"/>
    <n v="30343074"/>
    <x v="5"/>
  </r>
  <r>
    <x v="38"/>
    <x v="4"/>
    <x v="4"/>
    <n v="25964611"/>
    <x v="5"/>
  </r>
  <r>
    <x v="39"/>
    <x v="0"/>
    <x v="0"/>
    <n v="38691349"/>
    <x v="6"/>
  </r>
  <r>
    <x v="39"/>
    <x v="5"/>
    <x v="5"/>
    <n v="21021159"/>
    <x v="6"/>
  </r>
  <r>
    <x v="39"/>
    <x v="2"/>
    <x v="2"/>
    <n v="25811527"/>
    <x v="6"/>
  </r>
  <r>
    <x v="39"/>
    <x v="6"/>
    <x v="6"/>
    <n v="27275884"/>
    <x v="6"/>
  </r>
  <r>
    <x v="39"/>
    <x v="1"/>
    <x v="1"/>
    <n v="33973886"/>
    <x v="6"/>
  </r>
  <r>
    <x v="39"/>
    <x v="3"/>
    <x v="3"/>
    <n v="27687876"/>
    <x v="6"/>
  </r>
  <r>
    <x v="39"/>
    <x v="4"/>
    <x v="4"/>
    <n v="23777493"/>
    <x v="6"/>
  </r>
  <r>
    <x v="40"/>
    <x v="0"/>
    <x v="0"/>
    <n v="8569420"/>
    <x v="7"/>
  </r>
  <r>
    <x v="41"/>
    <x v="0"/>
    <x v="0"/>
    <n v="12137477"/>
    <x v="0"/>
  </r>
  <r>
    <x v="41"/>
    <x v="6"/>
    <x v="6"/>
    <n v="7084762"/>
    <x v="0"/>
  </r>
  <r>
    <x v="41"/>
    <x v="1"/>
    <x v="1"/>
    <n v="8237725"/>
    <x v="0"/>
  </r>
  <r>
    <x v="41"/>
    <x v="3"/>
    <x v="3"/>
    <n v="7517013"/>
    <x v="0"/>
  </r>
  <r>
    <x v="42"/>
    <x v="0"/>
    <x v="0"/>
    <n v="18916682"/>
    <x v="1"/>
  </r>
  <r>
    <x v="42"/>
    <x v="2"/>
    <x v="2"/>
    <n v="11312189"/>
    <x v="1"/>
  </r>
  <r>
    <x v="42"/>
    <x v="6"/>
    <x v="6"/>
    <n v="11660973"/>
    <x v="1"/>
  </r>
  <r>
    <x v="42"/>
    <x v="1"/>
    <x v="1"/>
    <n v="13983131"/>
    <x v="1"/>
  </r>
  <r>
    <x v="42"/>
    <x v="3"/>
    <x v="3"/>
    <n v="12680089"/>
    <x v="1"/>
  </r>
  <r>
    <x v="42"/>
    <x v="4"/>
    <x v="4"/>
    <n v="10280626"/>
    <x v="1"/>
  </r>
  <r>
    <x v="43"/>
    <x v="0"/>
    <x v="0"/>
    <n v="27676347"/>
    <x v="2"/>
  </r>
  <r>
    <x v="43"/>
    <x v="5"/>
    <x v="5"/>
    <n v="11596742"/>
    <x v="2"/>
  </r>
  <r>
    <x v="43"/>
    <x v="2"/>
    <x v="2"/>
    <n v="18026042"/>
    <x v="2"/>
  </r>
  <r>
    <x v="43"/>
    <x v="6"/>
    <x v="6"/>
    <n v="18954484"/>
    <x v="2"/>
  </r>
  <r>
    <x v="43"/>
    <x v="1"/>
    <x v="1"/>
    <n v="22329568"/>
    <x v="2"/>
  </r>
  <r>
    <x v="43"/>
    <x v="3"/>
    <x v="3"/>
    <n v="21093738"/>
    <x v="2"/>
  </r>
  <r>
    <x v="43"/>
    <x v="4"/>
    <x v="4"/>
    <n v="15813791"/>
    <x v="2"/>
  </r>
  <r>
    <x v="44"/>
    <x v="0"/>
    <x v="0"/>
    <n v="37016166"/>
    <x v="3"/>
  </r>
  <r>
    <x v="44"/>
    <x v="5"/>
    <x v="5"/>
    <n v="16626089"/>
    <x v="3"/>
  </r>
  <r>
    <x v="44"/>
    <x v="2"/>
    <x v="2"/>
    <n v="24301141"/>
    <x v="3"/>
  </r>
  <r>
    <x v="44"/>
    <x v="6"/>
    <x v="6"/>
    <n v="24811088"/>
    <x v="3"/>
  </r>
  <r>
    <x v="44"/>
    <x v="1"/>
    <x v="1"/>
    <n v="31520346"/>
    <x v="3"/>
  </r>
  <r>
    <x v="44"/>
    <x v="3"/>
    <x v="3"/>
    <n v="28827742"/>
    <x v="3"/>
  </r>
  <r>
    <x v="44"/>
    <x v="4"/>
    <x v="4"/>
    <n v="21920746"/>
    <x v="3"/>
  </r>
  <r>
    <x v="45"/>
    <x v="0"/>
    <x v="0"/>
    <n v="41921397"/>
    <x v="4"/>
  </r>
  <r>
    <x v="45"/>
    <x v="5"/>
    <x v="5"/>
    <n v="20281372"/>
    <x v="4"/>
  </r>
  <r>
    <x v="45"/>
    <x v="2"/>
    <x v="2"/>
    <n v="27389287"/>
    <x v="4"/>
  </r>
  <r>
    <x v="45"/>
    <x v="6"/>
    <x v="6"/>
    <n v="29842872"/>
    <x v="4"/>
  </r>
  <r>
    <x v="45"/>
    <x v="1"/>
    <x v="1"/>
    <n v="36598697"/>
    <x v="4"/>
  </r>
  <r>
    <x v="45"/>
    <x v="3"/>
    <x v="3"/>
    <n v="34725307"/>
    <x v="4"/>
  </r>
  <r>
    <x v="45"/>
    <x v="4"/>
    <x v="4"/>
    <n v="24641305"/>
    <x v="4"/>
  </r>
  <r>
    <x v="46"/>
    <x v="0"/>
    <x v="0"/>
    <n v="48156836"/>
    <x v="5"/>
  </r>
  <r>
    <x v="46"/>
    <x v="5"/>
    <x v="5"/>
    <n v="25449827"/>
    <x v="5"/>
  </r>
  <r>
    <x v="46"/>
    <x v="2"/>
    <x v="2"/>
    <n v="31885806"/>
    <x v="5"/>
  </r>
  <r>
    <x v="46"/>
    <x v="6"/>
    <x v="6"/>
    <n v="35707249"/>
    <x v="5"/>
  </r>
  <r>
    <x v="46"/>
    <x v="1"/>
    <x v="1"/>
    <n v="43177189"/>
    <x v="5"/>
  </r>
  <r>
    <x v="46"/>
    <x v="3"/>
    <x v="3"/>
    <n v="40917945"/>
    <x v="5"/>
  </r>
  <r>
    <x v="46"/>
    <x v="4"/>
    <x v="4"/>
    <n v="28754864"/>
    <x v="5"/>
  </r>
  <r>
    <x v="47"/>
    <x v="0"/>
    <x v="0"/>
    <n v="57651756"/>
    <x v="6"/>
  </r>
  <r>
    <x v="47"/>
    <x v="5"/>
    <x v="5"/>
    <n v="34335283"/>
    <x v="6"/>
  </r>
  <r>
    <x v="47"/>
    <x v="2"/>
    <x v="2"/>
    <n v="39394212"/>
    <x v="6"/>
  </r>
  <r>
    <x v="47"/>
    <x v="6"/>
    <x v="6"/>
    <n v="44144398"/>
    <x v="6"/>
  </r>
  <r>
    <x v="47"/>
    <x v="1"/>
    <x v="1"/>
    <n v="52683220"/>
    <x v="6"/>
  </r>
  <r>
    <x v="47"/>
    <x v="3"/>
    <x v="3"/>
    <n v="48147082"/>
    <x v="6"/>
  </r>
  <r>
    <x v="47"/>
    <x v="4"/>
    <x v="4"/>
    <n v="34113273"/>
    <x v="6"/>
  </r>
  <r>
    <x v="48"/>
    <x v="0"/>
    <x v="0"/>
    <n v="11713143"/>
    <x v="7"/>
  </r>
  <r>
    <x v="48"/>
    <x v="1"/>
    <x v="1"/>
    <n v="9447986"/>
    <x v="7"/>
  </r>
  <r>
    <x v="49"/>
    <x v="0"/>
    <x v="0"/>
    <n v="14923197"/>
    <x v="0"/>
  </r>
  <r>
    <x v="49"/>
    <x v="6"/>
    <x v="6"/>
    <n v="8609753"/>
    <x v="0"/>
  </r>
  <r>
    <x v="49"/>
    <x v="1"/>
    <x v="1"/>
    <n v="13109310"/>
    <x v="0"/>
  </r>
  <r>
    <x v="49"/>
    <x v="3"/>
    <x v="3"/>
    <n v="8472546"/>
    <x v="0"/>
  </r>
  <r>
    <x v="49"/>
    <x v="4"/>
    <x v="4"/>
    <n v="8185135"/>
    <x v="0"/>
  </r>
  <r>
    <x v="50"/>
    <x v="0"/>
    <x v="0"/>
    <n v="21632325"/>
    <x v="1"/>
  </r>
  <r>
    <x v="50"/>
    <x v="2"/>
    <x v="2"/>
    <n v="10757784"/>
    <x v="1"/>
  </r>
  <r>
    <x v="50"/>
    <x v="6"/>
    <x v="6"/>
    <n v="13175644"/>
    <x v="1"/>
  </r>
  <r>
    <x v="50"/>
    <x v="1"/>
    <x v="1"/>
    <n v="19385469"/>
    <x v="1"/>
  </r>
  <r>
    <x v="50"/>
    <x v="3"/>
    <x v="3"/>
    <n v="15066957"/>
    <x v="1"/>
  </r>
  <r>
    <x v="50"/>
    <x v="4"/>
    <x v="4"/>
    <n v="11469200"/>
    <x v="1"/>
  </r>
  <r>
    <x v="51"/>
    <x v="0"/>
    <x v="0"/>
    <n v="33728604"/>
    <x v="2"/>
  </r>
  <r>
    <x v="51"/>
    <x v="5"/>
    <x v="5"/>
    <n v="12517113"/>
    <x v="2"/>
  </r>
  <r>
    <x v="51"/>
    <x v="2"/>
    <x v="2"/>
    <n v="18224117"/>
    <x v="2"/>
  </r>
  <r>
    <x v="51"/>
    <x v="6"/>
    <x v="6"/>
    <n v="22186368"/>
    <x v="2"/>
  </r>
  <r>
    <x v="51"/>
    <x v="1"/>
    <x v="1"/>
    <n v="30556258"/>
    <x v="2"/>
  </r>
  <r>
    <x v="51"/>
    <x v="3"/>
    <x v="3"/>
    <n v="26940388"/>
    <x v="2"/>
  </r>
  <r>
    <x v="51"/>
    <x v="4"/>
    <x v="4"/>
    <n v="18610534"/>
    <x v="2"/>
  </r>
  <r>
    <x v="52"/>
    <x v="0"/>
    <x v="0"/>
    <n v="48242745"/>
    <x v="3"/>
  </r>
  <r>
    <x v="52"/>
    <x v="5"/>
    <x v="5"/>
    <n v="20317400"/>
    <x v="3"/>
  </r>
  <r>
    <x v="52"/>
    <x v="2"/>
    <x v="2"/>
    <n v="27899303"/>
    <x v="3"/>
  </r>
  <r>
    <x v="52"/>
    <x v="6"/>
    <x v="6"/>
    <n v="33402002"/>
    <x v="3"/>
  </r>
  <r>
    <x v="52"/>
    <x v="1"/>
    <x v="1"/>
    <n v="44176139"/>
    <x v="3"/>
  </r>
  <r>
    <x v="52"/>
    <x v="3"/>
    <x v="3"/>
    <n v="38756976"/>
    <x v="3"/>
  </r>
  <r>
    <x v="52"/>
    <x v="4"/>
    <x v="4"/>
    <n v="29089107"/>
    <x v="3"/>
  </r>
  <r>
    <x v="53"/>
    <x v="0"/>
    <x v="0"/>
    <n v="47232471"/>
    <x v="4"/>
  </r>
  <r>
    <x v="53"/>
    <x v="5"/>
    <x v="5"/>
    <n v="20852799"/>
    <x v="4"/>
  </r>
  <r>
    <x v="53"/>
    <x v="2"/>
    <x v="2"/>
    <n v="27973507"/>
    <x v="4"/>
  </r>
  <r>
    <x v="53"/>
    <x v="6"/>
    <x v="6"/>
    <n v="30951467"/>
    <x v="4"/>
  </r>
  <r>
    <x v="53"/>
    <x v="1"/>
    <x v="1"/>
    <n v="43334690"/>
    <x v="4"/>
  </r>
  <r>
    <x v="53"/>
    <x v="3"/>
    <x v="3"/>
    <n v="37617587"/>
    <x v="4"/>
  </r>
  <r>
    <x v="53"/>
    <x v="4"/>
    <x v="4"/>
    <n v="29109961"/>
    <x v="4"/>
  </r>
  <r>
    <x v="54"/>
    <x v="0"/>
    <x v="0"/>
    <n v="53338897"/>
    <x v="5"/>
  </r>
  <r>
    <x v="54"/>
    <x v="5"/>
    <x v="5"/>
    <n v="24768891"/>
    <x v="5"/>
  </r>
  <r>
    <x v="54"/>
    <x v="2"/>
    <x v="2"/>
    <n v="31456354"/>
    <x v="5"/>
  </r>
  <r>
    <x v="54"/>
    <x v="6"/>
    <x v="6"/>
    <n v="35098833"/>
    <x v="5"/>
  </r>
  <r>
    <x v="54"/>
    <x v="1"/>
    <x v="1"/>
    <n v="49239617"/>
    <x v="5"/>
  </r>
  <r>
    <x v="54"/>
    <x v="3"/>
    <x v="3"/>
    <n v="44792976"/>
    <x v="5"/>
  </r>
  <r>
    <x v="54"/>
    <x v="4"/>
    <x v="4"/>
    <n v="33816577"/>
    <x v="5"/>
  </r>
  <r>
    <x v="55"/>
    <x v="0"/>
    <x v="0"/>
    <n v="75826005"/>
    <x v="6"/>
  </r>
  <r>
    <x v="55"/>
    <x v="5"/>
    <x v="5"/>
    <n v="39496130"/>
    <x v="6"/>
  </r>
  <r>
    <x v="55"/>
    <x v="2"/>
    <x v="2"/>
    <n v="44884310"/>
    <x v="6"/>
  </r>
  <r>
    <x v="55"/>
    <x v="6"/>
    <x v="6"/>
    <n v="51705845"/>
    <x v="6"/>
  </r>
  <r>
    <x v="55"/>
    <x v="1"/>
    <x v="1"/>
    <n v="71138282"/>
    <x v="6"/>
  </r>
  <r>
    <x v="55"/>
    <x v="3"/>
    <x v="3"/>
    <n v="62796483"/>
    <x v="6"/>
  </r>
  <r>
    <x v="55"/>
    <x v="4"/>
    <x v="4"/>
    <n v="48192239"/>
    <x v="6"/>
  </r>
  <r>
    <x v="56"/>
    <x v="1"/>
    <x v="1"/>
    <n v="7914063"/>
    <x v="8"/>
  </r>
  <r>
    <x v="57"/>
    <x v="0"/>
    <x v="0"/>
    <n v="11279139"/>
    <x v="7"/>
  </r>
  <r>
    <x v="57"/>
    <x v="1"/>
    <x v="1"/>
    <n v="9923635"/>
    <x v="7"/>
  </r>
  <r>
    <x v="58"/>
    <x v="0"/>
    <x v="0"/>
    <n v="14796703"/>
    <x v="0"/>
  </r>
  <r>
    <x v="58"/>
    <x v="6"/>
    <x v="6"/>
    <n v="8712411"/>
    <x v="0"/>
  </r>
  <r>
    <x v="58"/>
    <x v="1"/>
    <x v="1"/>
    <n v="13711333"/>
    <x v="0"/>
  </r>
  <r>
    <x v="58"/>
    <x v="3"/>
    <x v="3"/>
    <n v="9561847"/>
    <x v="0"/>
  </r>
  <r>
    <x v="58"/>
    <x v="4"/>
    <x v="4"/>
    <n v="8672931"/>
    <x v="0"/>
  </r>
  <r>
    <x v="59"/>
    <x v="0"/>
    <x v="0"/>
    <n v="21363813"/>
    <x v="1"/>
  </r>
  <r>
    <x v="59"/>
    <x v="2"/>
    <x v="2"/>
    <n v="9941240"/>
    <x v="1"/>
  </r>
  <r>
    <x v="59"/>
    <x v="6"/>
    <x v="6"/>
    <n v="13038832"/>
    <x v="1"/>
  </r>
  <r>
    <x v="59"/>
    <x v="1"/>
    <x v="1"/>
    <n v="19555376"/>
    <x v="1"/>
  </r>
  <r>
    <x v="59"/>
    <x v="3"/>
    <x v="3"/>
    <n v="14591689"/>
    <x v="1"/>
  </r>
  <r>
    <x v="59"/>
    <x v="4"/>
    <x v="4"/>
    <n v="12932270"/>
    <x v="1"/>
  </r>
  <r>
    <x v="60"/>
    <x v="0"/>
    <x v="0"/>
    <n v="28988715"/>
    <x v="2"/>
  </r>
  <r>
    <x v="60"/>
    <x v="5"/>
    <x v="5"/>
    <n v="11302691"/>
    <x v="2"/>
  </r>
  <r>
    <x v="60"/>
    <x v="2"/>
    <x v="2"/>
    <n v="14210678"/>
    <x v="2"/>
  </r>
  <r>
    <x v="60"/>
    <x v="6"/>
    <x v="6"/>
    <n v="18729517"/>
    <x v="2"/>
  </r>
  <r>
    <x v="60"/>
    <x v="1"/>
    <x v="1"/>
    <n v="26812906"/>
    <x v="2"/>
  </r>
  <r>
    <x v="60"/>
    <x v="3"/>
    <x v="3"/>
    <n v="21568493"/>
    <x v="2"/>
  </r>
  <r>
    <x v="60"/>
    <x v="4"/>
    <x v="4"/>
    <n v="18147498"/>
    <x v="2"/>
  </r>
  <r>
    <x v="61"/>
    <x v="0"/>
    <x v="0"/>
    <n v="44056478"/>
    <x v="3"/>
  </r>
  <r>
    <x v="61"/>
    <x v="5"/>
    <x v="5"/>
    <n v="19452273"/>
    <x v="3"/>
  </r>
  <r>
    <x v="61"/>
    <x v="2"/>
    <x v="2"/>
    <n v="22538475"/>
    <x v="3"/>
  </r>
  <r>
    <x v="61"/>
    <x v="6"/>
    <x v="6"/>
    <n v="30821472"/>
    <x v="3"/>
  </r>
  <r>
    <x v="61"/>
    <x v="1"/>
    <x v="1"/>
    <n v="43542785"/>
    <x v="3"/>
  </r>
  <r>
    <x v="61"/>
    <x v="3"/>
    <x v="3"/>
    <n v="36240442"/>
    <x v="3"/>
  </r>
  <r>
    <x v="61"/>
    <x v="4"/>
    <x v="4"/>
    <n v="28953248"/>
    <x v="3"/>
  </r>
  <r>
    <x v="62"/>
    <x v="0"/>
    <x v="0"/>
    <n v="47514211"/>
    <x v="4"/>
  </r>
  <r>
    <x v="62"/>
    <x v="5"/>
    <x v="5"/>
    <n v="21780383"/>
    <x v="4"/>
  </r>
  <r>
    <x v="62"/>
    <x v="2"/>
    <x v="2"/>
    <n v="24073016"/>
    <x v="4"/>
  </r>
  <r>
    <x v="62"/>
    <x v="6"/>
    <x v="6"/>
    <n v="36801037"/>
    <x v="4"/>
  </r>
  <r>
    <x v="62"/>
    <x v="1"/>
    <x v="1"/>
    <n v="46992149"/>
    <x v="4"/>
  </r>
  <r>
    <x v="62"/>
    <x v="3"/>
    <x v="3"/>
    <n v="40460504"/>
    <x v="4"/>
  </r>
  <r>
    <x v="62"/>
    <x v="4"/>
    <x v="4"/>
    <n v="31559275"/>
    <x v="4"/>
  </r>
  <r>
    <x v="63"/>
    <x v="0"/>
    <x v="0"/>
    <n v="51621732"/>
    <x v="5"/>
  </r>
  <r>
    <x v="63"/>
    <x v="5"/>
    <x v="5"/>
    <n v="25708186"/>
    <x v="5"/>
  </r>
  <r>
    <x v="63"/>
    <x v="2"/>
    <x v="2"/>
    <n v="26548915"/>
    <x v="5"/>
  </r>
  <r>
    <x v="63"/>
    <x v="6"/>
    <x v="6"/>
    <n v="41055176"/>
    <x v="5"/>
  </r>
  <r>
    <x v="63"/>
    <x v="1"/>
    <x v="1"/>
    <n v="50554131"/>
    <x v="5"/>
  </r>
  <r>
    <x v="63"/>
    <x v="3"/>
    <x v="3"/>
    <n v="44823735"/>
    <x v="5"/>
  </r>
  <r>
    <x v="63"/>
    <x v="4"/>
    <x v="4"/>
    <n v="34645959"/>
    <x v="5"/>
  </r>
  <r>
    <x v="64"/>
    <x v="0"/>
    <x v="0"/>
    <n v="92506541"/>
    <x v="6"/>
  </r>
  <r>
    <x v="64"/>
    <x v="5"/>
    <x v="5"/>
    <n v="48740674"/>
    <x v="6"/>
  </r>
  <r>
    <x v="64"/>
    <x v="2"/>
    <x v="2"/>
    <n v="47360169"/>
    <x v="6"/>
  </r>
  <r>
    <x v="64"/>
    <x v="6"/>
    <x v="6"/>
    <n v="72625966"/>
    <x v="6"/>
  </r>
  <r>
    <x v="64"/>
    <x v="1"/>
    <x v="1"/>
    <n v="91090914"/>
    <x v="6"/>
  </r>
  <r>
    <x v="64"/>
    <x v="3"/>
    <x v="3"/>
    <n v="82406485"/>
    <x v="6"/>
  </r>
  <r>
    <x v="64"/>
    <x v="4"/>
    <x v="4"/>
    <n v="60264421"/>
    <x v="6"/>
  </r>
  <r>
    <x v="65"/>
    <x v="0"/>
    <x v="0"/>
    <n v="11199904"/>
    <x v="8"/>
  </r>
  <r>
    <x v="65"/>
    <x v="1"/>
    <x v="1"/>
    <n v="11565422"/>
    <x v="8"/>
  </r>
  <r>
    <x v="65"/>
    <x v="3"/>
    <x v="3"/>
    <n v="8533518"/>
    <x v="8"/>
  </r>
  <r>
    <x v="66"/>
    <x v="0"/>
    <x v="0"/>
    <n v="10679069"/>
    <x v="7"/>
  </r>
  <r>
    <x v="66"/>
    <x v="1"/>
    <x v="1"/>
    <n v="8776792"/>
    <x v="7"/>
  </r>
  <r>
    <x v="67"/>
    <x v="0"/>
    <x v="0"/>
    <n v="14176619"/>
    <x v="0"/>
  </r>
  <r>
    <x v="67"/>
    <x v="6"/>
    <x v="6"/>
    <n v="8905332"/>
    <x v="0"/>
  </r>
  <r>
    <x v="67"/>
    <x v="1"/>
    <x v="1"/>
    <n v="12541769"/>
    <x v="0"/>
  </r>
  <r>
    <x v="67"/>
    <x v="3"/>
    <x v="3"/>
    <n v="9897609"/>
    <x v="0"/>
  </r>
  <r>
    <x v="67"/>
    <x v="4"/>
    <x v="4"/>
    <n v="9083220"/>
    <x v="0"/>
  </r>
  <r>
    <x v="68"/>
    <x v="0"/>
    <x v="0"/>
    <n v="17855568"/>
    <x v="1"/>
  </r>
  <r>
    <x v="68"/>
    <x v="2"/>
    <x v="2"/>
    <n v="9133205"/>
    <x v="1"/>
  </r>
  <r>
    <x v="68"/>
    <x v="6"/>
    <x v="6"/>
    <n v="12045395"/>
    <x v="1"/>
  </r>
  <r>
    <x v="68"/>
    <x v="1"/>
    <x v="1"/>
    <n v="16382300"/>
    <x v="1"/>
  </r>
  <r>
    <x v="68"/>
    <x v="3"/>
    <x v="3"/>
    <n v="12912321"/>
    <x v="1"/>
  </r>
  <r>
    <x v="68"/>
    <x v="4"/>
    <x v="4"/>
    <n v="11651103"/>
    <x v="1"/>
  </r>
  <r>
    <x v="69"/>
    <x v="0"/>
    <x v="0"/>
    <n v="25566111"/>
    <x v="2"/>
  </r>
  <r>
    <x v="69"/>
    <x v="5"/>
    <x v="5"/>
    <n v="9869378"/>
    <x v="2"/>
  </r>
  <r>
    <x v="69"/>
    <x v="2"/>
    <x v="2"/>
    <n v="13273043"/>
    <x v="2"/>
  </r>
  <r>
    <x v="69"/>
    <x v="6"/>
    <x v="6"/>
    <n v="17216703"/>
    <x v="2"/>
  </r>
  <r>
    <x v="69"/>
    <x v="1"/>
    <x v="1"/>
    <n v="23091279"/>
    <x v="2"/>
  </r>
  <r>
    <x v="69"/>
    <x v="3"/>
    <x v="3"/>
    <n v="19251893"/>
    <x v="2"/>
  </r>
  <r>
    <x v="69"/>
    <x v="4"/>
    <x v="4"/>
    <n v="168382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256E0-FC72-475B-A4FE-75A40992E284}" name="PivotTable3" cacheId="0" applyNumberFormats="0" applyBorderFormats="0" applyFontFormats="0" applyPatternFormats="0" applyAlignmentFormats="0" applyWidthHeightFormats="1" dataCaption="Values" updatedVersion="8" minRefreshableVersion="5" colGrandTotals="0" itemPrintTitles="1" createdVersion="8" indent="0" multipleFieldFilters="0" chartFormat="5">
  <location ref="A30:H41" firstHeaderRow="1" firstDataRow="2"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8">
        <item x="0"/>
        <item x="5"/>
        <item x="2"/>
        <item x="6"/>
        <item x="1"/>
        <item x="3"/>
        <item x="4"/>
        <item t="default"/>
      </items>
    </pivotField>
    <pivotField axis="axisCol" showAll="0">
      <items count="8">
        <item x="0"/>
        <item x="1"/>
        <item x="3"/>
        <item x="6"/>
        <item x="4"/>
        <item x="2"/>
        <item x="5"/>
        <item t="default"/>
      </items>
    </pivotField>
    <pivotField dataField="1" showAll="0"/>
    <pivotField showAll="0">
      <items count="12">
        <item m="1" x="10"/>
        <item x="7"/>
        <item x="0"/>
        <item x="1"/>
        <item x="2"/>
        <item x="3"/>
        <item x="4"/>
        <item x="5"/>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7"/>
  </rowFields>
  <rowItems count="10">
    <i>
      <x v="1"/>
    </i>
    <i>
      <x v="2"/>
    </i>
    <i>
      <x v="3"/>
    </i>
    <i>
      <x v="4"/>
    </i>
    <i>
      <x v="5"/>
    </i>
    <i>
      <x v="6"/>
    </i>
    <i>
      <x v="7"/>
    </i>
    <i>
      <x v="8"/>
    </i>
    <i>
      <x v="9"/>
    </i>
    <i t="grand">
      <x/>
    </i>
  </rowItems>
  <colFields count="1">
    <field x="2"/>
  </colFields>
  <colItems count="7">
    <i>
      <x/>
    </i>
    <i>
      <x v="1"/>
    </i>
    <i>
      <x v="2"/>
    </i>
    <i>
      <x v="3"/>
    </i>
    <i>
      <x v="4"/>
    </i>
    <i>
      <x v="5"/>
    </i>
    <i>
      <x v="6"/>
    </i>
  </colItems>
  <dataFields count="1">
    <dataField name="Sum of streams" fld="3" baseField="0" baseItem="0"/>
  </dataFields>
  <formats count="1">
    <format dxfId="26">
      <pivotArea type="all" dataOnly="0" outline="0" fieldPosition="0"/>
    </format>
  </formats>
  <chartFormats count="25">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0" format="4" series="1">
      <pivotArea type="data" outline="0" fieldPosition="0">
        <references count="2">
          <reference field="4294967294" count="1" selected="0">
            <x v="0"/>
          </reference>
          <reference field="7" count="1" selected="0">
            <x v="5"/>
          </reference>
        </references>
      </pivotArea>
    </chartFormat>
    <chartFormat chart="0" format="5" series="1">
      <pivotArea type="data" outline="0" fieldPosition="0">
        <references count="2">
          <reference field="4294967294" count="1" selected="0">
            <x v="0"/>
          </reference>
          <reference field="7" count="1" selected="0">
            <x v="6"/>
          </reference>
        </references>
      </pivotArea>
    </chartFormat>
    <chartFormat chart="0" format="6" series="1">
      <pivotArea type="data" outline="0" fieldPosition="0">
        <references count="2">
          <reference field="4294967294" count="1" selected="0">
            <x v="0"/>
          </reference>
          <reference field="7" count="1" selected="0">
            <x v="7"/>
          </reference>
        </references>
      </pivotArea>
    </chartFormat>
    <chartFormat chart="0" format="7" series="1">
      <pivotArea type="data" outline="0" fieldPosition="0">
        <references count="2">
          <reference field="4294967294" count="1" selected="0">
            <x v="0"/>
          </reference>
          <reference field="7" count="1" selected="0">
            <x v="8"/>
          </reference>
        </references>
      </pivotArea>
    </chartFormat>
    <chartFormat chart="0" format="8" series="1">
      <pivotArea type="data" outline="0" fieldPosition="0">
        <references count="2">
          <reference field="4294967294" count="1" selected="0">
            <x v="0"/>
          </reference>
          <reference field="7" count="1" selected="0">
            <x v="9"/>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3"/>
          </reference>
        </references>
      </pivotArea>
    </chartFormat>
    <chartFormat chart="0" format="11" series="1">
      <pivotArea type="data" outline="0" fieldPosition="0">
        <references count="2">
          <reference field="4294967294" count="1" selected="0">
            <x v="0"/>
          </reference>
          <reference field="2" count="1" selected="0">
            <x v="2"/>
          </reference>
        </references>
      </pivotArea>
    </chartFormat>
    <chartFormat chart="0" format="12" series="1">
      <pivotArea type="data" outline="0" fieldPosition="0">
        <references count="2">
          <reference field="4294967294" count="1" selected="0">
            <x v="0"/>
          </reference>
          <reference field="2" count="1" selected="0">
            <x v="6"/>
          </reference>
        </references>
      </pivotArea>
    </chartFormat>
    <chartFormat chart="0" format="13" series="1">
      <pivotArea type="data" outline="0" fieldPosition="0">
        <references count="2">
          <reference field="4294967294" count="1" selected="0">
            <x v="0"/>
          </reference>
          <reference field="2" count="1" selected="0">
            <x v="0"/>
          </reference>
        </references>
      </pivotArea>
    </chartFormat>
    <chartFormat chart="0" format="14" series="1">
      <pivotArea type="data" outline="0" fieldPosition="0">
        <references count="2">
          <reference field="4294967294" count="1" selected="0">
            <x v="0"/>
          </reference>
          <reference field="2" count="1" selected="0">
            <x v="5"/>
          </reference>
        </references>
      </pivotArea>
    </chartFormat>
    <chartFormat chart="0" format="15" series="1">
      <pivotArea type="data" outline="0" fieldPosition="0">
        <references count="2">
          <reference field="4294967294" count="1" selected="0">
            <x v="0"/>
          </reference>
          <reference field="2" count="1" selected="0">
            <x v="1"/>
          </reference>
        </references>
      </pivotArea>
    </chartFormat>
    <chartFormat chart="4" format="23" series="1">
      <pivotArea type="data" outline="0" fieldPosition="0">
        <references count="2">
          <reference field="4294967294" count="1" selected="0">
            <x v="0"/>
          </reference>
          <reference field="2" count="1" selected="0">
            <x v="0"/>
          </reference>
        </references>
      </pivotArea>
    </chartFormat>
    <chartFormat chart="4" format="24" series="1">
      <pivotArea type="data" outline="0" fieldPosition="0">
        <references count="2">
          <reference field="4294967294" count="1" selected="0">
            <x v="0"/>
          </reference>
          <reference field="2" count="1" selected="0">
            <x v="1"/>
          </reference>
        </references>
      </pivotArea>
    </chartFormat>
    <chartFormat chart="4" format="25" series="1">
      <pivotArea type="data" outline="0" fieldPosition="0">
        <references count="2">
          <reference field="4294967294" count="1" selected="0">
            <x v="0"/>
          </reference>
          <reference field="2" count="1" selected="0">
            <x v="2"/>
          </reference>
        </references>
      </pivotArea>
    </chartFormat>
    <chartFormat chart="4" format="26" series="1">
      <pivotArea type="data" outline="0" fieldPosition="0">
        <references count="2">
          <reference field="4294967294" count="1" selected="0">
            <x v="0"/>
          </reference>
          <reference field="2" count="1" selected="0">
            <x v="3"/>
          </reference>
        </references>
      </pivotArea>
    </chartFormat>
    <chartFormat chart="4" format="27" series="1">
      <pivotArea type="data" outline="0" fieldPosition="0">
        <references count="2">
          <reference field="4294967294" count="1" selected="0">
            <x v="0"/>
          </reference>
          <reference field="2" count="1" selected="0">
            <x v="4"/>
          </reference>
        </references>
      </pivotArea>
    </chartFormat>
    <chartFormat chart="4" format="28" series="1">
      <pivotArea type="data" outline="0" fieldPosition="0">
        <references count="2">
          <reference field="4294967294" count="1" selected="0">
            <x v="0"/>
          </reference>
          <reference field="2" count="1" selected="0">
            <x v="5"/>
          </reference>
        </references>
      </pivotArea>
    </chartFormat>
    <chartFormat chart="4" format="29" series="1">
      <pivotArea type="data" outline="0" fieldPosition="0">
        <references count="2">
          <reference field="4294967294" count="1" selected="0">
            <x v="0"/>
          </reference>
          <reference field="2" count="1" selected="0">
            <x v="6"/>
          </reference>
        </references>
      </pivotArea>
    </chartFormat>
    <chartFormat chart="4" format="30"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CA2CE-D795-49F4-95D2-8D93AB7D66BD}" name="PivotTable1" cacheId="0" applyNumberFormats="0" applyBorderFormats="0" applyFontFormats="0" applyPatternFormats="0" applyAlignmentFormats="0" applyWidthHeightFormats="1" dataCaption="Values" updatedVersion="8" minRefreshableVersion="5" itemPrintTitles="1" createdVersion="8" indent="0" multipleFieldFilters="0" chartFormat="7">
  <location ref="A4:I9" firstHeaderRow="1" firstDataRow="2" firstDataCol="1"/>
  <pivotFields count="8">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8">
        <item x="0"/>
        <item x="5"/>
        <item x="2"/>
        <item x="6"/>
        <item x="1"/>
        <item x="3"/>
        <item x="4"/>
        <item t="default"/>
      </items>
    </pivotField>
    <pivotField showAll="0">
      <items count="8">
        <item x="4"/>
        <item x="6"/>
        <item x="3"/>
        <item x="5"/>
        <item x="0"/>
        <item x="2"/>
        <item x="1"/>
        <item t="default"/>
      </items>
    </pivotField>
    <pivotField dataField="1" numFmtId="1" showAll="0"/>
    <pivotField numFmtId="1" showAll="0">
      <items count="12">
        <item m="1" x="10"/>
        <item x="7"/>
        <item x="0"/>
        <item x="1"/>
        <item x="2"/>
        <item x="3"/>
        <item x="4"/>
        <item x="5"/>
        <item x="6"/>
        <item x="9"/>
        <item x="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3">
    <field x="5"/>
    <field x="0"/>
    <field x="7"/>
  </rowFields>
  <rowItems count="4">
    <i>
      <x v="1"/>
    </i>
    <i>
      <x v="11"/>
    </i>
    <i>
      <x v="12"/>
    </i>
    <i t="grand">
      <x/>
    </i>
  </rowItems>
  <colFields count="1">
    <field x="1"/>
  </colFields>
  <colItems count="8">
    <i>
      <x/>
    </i>
    <i>
      <x v="1"/>
    </i>
    <i>
      <x v="2"/>
    </i>
    <i>
      <x v="3"/>
    </i>
    <i>
      <x v="4"/>
    </i>
    <i>
      <x v="5"/>
    </i>
    <i>
      <x v="6"/>
    </i>
    <i t="grand">
      <x/>
    </i>
  </colItems>
  <dataFields count="1">
    <dataField name="Sum of streams" fld="3" baseField="0" baseItem="0" numFmtId="1"/>
  </dataFields>
  <formats count="4">
    <format dxfId="30">
      <pivotArea type="all" dataOnly="0" outline="0" fieldPosition="0"/>
    </format>
    <format dxfId="29">
      <pivotArea outline="0" collapsedLevelsAreSubtotals="1" fieldPosition="0"/>
    </format>
    <format dxfId="28">
      <pivotArea dataOnly="0" labelOnly="1" grandRow="1" outline="0" fieldPosition="0"/>
    </format>
    <format dxfId="27">
      <pivotArea dataOnly="0" labelOnly="1" outline="0" axis="axisValues" fieldPosition="0"/>
    </format>
  </formats>
  <chartFormats count="3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7" count="1" selected="0">
            <x v="2"/>
          </reference>
        </references>
      </pivotArea>
    </chartFormat>
    <chartFormat chart="4" format="4" series="1">
      <pivotArea type="data" outline="0" fieldPosition="0">
        <references count="2">
          <reference field="4294967294" count="1" selected="0">
            <x v="0"/>
          </reference>
          <reference field="7" count="1" selected="0">
            <x v="3"/>
          </reference>
        </references>
      </pivotArea>
    </chartFormat>
    <chartFormat chart="4" format="5" series="1">
      <pivotArea type="data" outline="0" fieldPosition="0">
        <references count="2">
          <reference field="4294967294" count="1" selected="0">
            <x v="0"/>
          </reference>
          <reference field="7" count="1" selected="0">
            <x v="4"/>
          </reference>
        </references>
      </pivotArea>
    </chartFormat>
    <chartFormat chart="4" format="6" series="1">
      <pivotArea type="data" outline="0" fieldPosition="0">
        <references count="2">
          <reference field="4294967294" count="1" selected="0">
            <x v="0"/>
          </reference>
          <reference field="7" count="1" selected="0">
            <x v="5"/>
          </reference>
        </references>
      </pivotArea>
    </chartFormat>
    <chartFormat chart="4" format="7" series="1">
      <pivotArea type="data" outline="0" fieldPosition="0">
        <references count="2">
          <reference field="4294967294" count="1" selected="0">
            <x v="0"/>
          </reference>
          <reference field="7" count="1" selected="0">
            <x v="6"/>
          </reference>
        </references>
      </pivotArea>
    </chartFormat>
    <chartFormat chart="4" format="8" series="1">
      <pivotArea type="data" outline="0" fieldPosition="0">
        <references count="2">
          <reference field="4294967294" count="1" selected="0">
            <x v="0"/>
          </reference>
          <reference field="7" count="1" selected="0">
            <x v="7"/>
          </reference>
        </references>
      </pivotArea>
    </chartFormat>
    <chartFormat chart="4" format="9" series="1">
      <pivotArea type="data" outline="0" fieldPosition="0">
        <references count="2">
          <reference field="4294967294" count="1" selected="0">
            <x v="0"/>
          </reference>
          <reference field="7" count="1" selected="0">
            <x v="8"/>
          </reference>
        </references>
      </pivotArea>
    </chartFormat>
    <chartFormat chart="4" format="10" series="1">
      <pivotArea type="data" outline="0" fieldPosition="0">
        <references count="2">
          <reference field="4294967294" count="1" selected="0">
            <x v="0"/>
          </reference>
          <reference field="7" count="1" selected="0">
            <x v="9"/>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0" format="4" series="1">
      <pivotArea type="data" outline="0" fieldPosition="0">
        <references count="2">
          <reference field="4294967294" count="1" selected="0">
            <x v="0"/>
          </reference>
          <reference field="7" count="1" selected="0">
            <x v="5"/>
          </reference>
        </references>
      </pivotArea>
    </chartFormat>
    <chartFormat chart="0" format="5" series="1">
      <pivotArea type="data" outline="0" fieldPosition="0">
        <references count="2">
          <reference field="4294967294" count="1" selected="0">
            <x v="0"/>
          </reference>
          <reference field="7" count="1" selected="0">
            <x v="6"/>
          </reference>
        </references>
      </pivotArea>
    </chartFormat>
    <chartFormat chart="0" format="6" series="1">
      <pivotArea type="data" outline="0" fieldPosition="0">
        <references count="2">
          <reference field="4294967294" count="1" selected="0">
            <x v="0"/>
          </reference>
          <reference field="7" count="1" selected="0">
            <x v="7"/>
          </reference>
        </references>
      </pivotArea>
    </chartFormat>
    <chartFormat chart="0" format="7" series="1">
      <pivotArea type="data" outline="0" fieldPosition="0">
        <references count="2">
          <reference field="4294967294" count="1" selected="0">
            <x v="0"/>
          </reference>
          <reference field="7" count="1" selected="0">
            <x v="8"/>
          </reference>
        </references>
      </pivotArea>
    </chartFormat>
    <chartFormat chart="0" format="8" series="1">
      <pivotArea type="data" outline="0" fieldPosition="0">
        <references count="2">
          <reference field="4294967294" count="1" selected="0">
            <x v="0"/>
          </reference>
          <reference field="7" count="1" selected="0">
            <x v="9"/>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4" format="15"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0"/>
          </reference>
          <reference field="1" count="1" selected="0">
            <x v="5"/>
          </reference>
        </references>
      </pivotArea>
    </chartFormat>
    <chartFormat chart="4" format="16" series="1">
      <pivotArea type="data" outline="0" fieldPosition="0">
        <references count="2">
          <reference field="4294967294" count="1" selected="0">
            <x v="0"/>
          </reference>
          <reference field="1" count="1" selected="0">
            <x v="6"/>
          </reference>
        </references>
      </pivotArea>
    </chartFormat>
    <chartFormat chart="0" format="14" series="1">
      <pivotArea type="data" outline="0" fieldPosition="0">
        <references count="2">
          <reference field="4294967294" count="1" selected="0">
            <x v="0"/>
          </reference>
          <reference field="1" count="1" selected="0">
            <x v="6"/>
          </reference>
        </references>
      </pivotArea>
    </chartFormat>
    <chartFormat chart="4" format="17" series="1">
      <pivotArea type="data" outline="0" fieldPosition="0">
        <references count="2">
          <reference field="4294967294" count="1" selected="0">
            <x v="0"/>
          </reference>
          <reference field="1" count="1" selected="0">
            <x v="0"/>
          </reference>
        </references>
      </pivotArea>
    </chartFormat>
    <chartFormat chart="0" format="15"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4829D9-8A15-4C00-8178-C73FE093E502}" name="PivotTable8" cacheId="0" applyNumberFormats="0" applyBorderFormats="0" applyFontFormats="0" applyPatternFormats="0" applyAlignmentFormats="0" applyWidthHeightFormats="1" dataCaption="Values" updatedVersion="8" minRefreshableVersion="5" itemPrintTitles="1" createdVersion="8" indent="0" multipleFieldFilters="0" chartFormat="6">
  <location ref="A79:I90" firstHeaderRow="1" firstDataRow="2"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8">
        <item x="0"/>
        <item x="5"/>
        <item x="2"/>
        <item x="6"/>
        <item x="1"/>
        <item x="3"/>
        <item x="4"/>
        <item t="default"/>
      </items>
    </pivotField>
    <pivotField showAll="0">
      <items count="8">
        <item x="4"/>
        <item x="6"/>
        <item x="3"/>
        <item x="5"/>
        <item x="0"/>
        <item x="2"/>
        <item x="1"/>
        <item t="default"/>
      </items>
    </pivotField>
    <pivotField dataField="1" showAll="0"/>
    <pivotField showAll="0">
      <items count="12">
        <item m="1" x="10"/>
        <item x="7"/>
        <item x="0"/>
        <item x="1"/>
        <item x="2"/>
        <item x="3"/>
        <item x="4"/>
        <item x="5"/>
        <item x="6"/>
        <item x="9"/>
        <item x="8"/>
        <item t="default"/>
      </items>
    </pivotField>
    <pivotField showAll="0"/>
    <pivotField showAll="0"/>
    <pivotField axis="axisRow" showAll="0">
      <items count="12">
        <item x="0"/>
        <item x="1"/>
        <item x="2"/>
        <item x="3"/>
        <item x="4"/>
        <item x="5"/>
        <item x="6"/>
        <item x="7"/>
        <item x="8"/>
        <item x="9"/>
        <item x="10"/>
        <item t="default"/>
      </items>
    </pivotField>
  </pivotFields>
  <rowFields count="1">
    <field x="7"/>
  </rowFields>
  <rowItems count="10">
    <i>
      <x v="1"/>
    </i>
    <i>
      <x v="2"/>
    </i>
    <i>
      <x v="3"/>
    </i>
    <i>
      <x v="4"/>
    </i>
    <i>
      <x v="5"/>
    </i>
    <i>
      <x v="6"/>
    </i>
    <i>
      <x v="7"/>
    </i>
    <i>
      <x v="8"/>
    </i>
    <i>
      <x v="9"/>
    </i>
    <i t="grand">
      <x/>
    </i>
  </rowItems>
  <colFields count="1">
    <field x="1"/>
  </colFields>
  <colItems count="8">
    <i>
      <x/>
    </i>
    <i>
      <x v="1"/>
    </i>
    <i>
      <x v="2"/>
    </i>
    <i>
      <x v="3"/>
    </i>
    <i>
      <x v="4"/>
    </i>
    <i>
      <x v="5"/>
    </i>
    <i>
      <x v="6"/>
    </i>
    <i t="grand">
      <x/>
    </i>
  </colItems>
  <dataFields count="1">
    <dataField name="%Difference from base year" fld="3" showDataAs="percentDiff" baseField="7" baseItem="1" numFmtId="10"/>
  </dataFields>
  <formats count="11">
    <format dxfId="41">
      <pivotArea type="all" dataOnly="0" outline="0" fieldPosition="0"/>
    </format>
    <format dxfId="40">
      <pivotArea outline="0" collapsedLevelsAreSubtotals="1" fieldPosition="0"/>
    </format>
    <format dxfId="39">
      <pivotArea type="origin" dataOnly="0" labelOnly="1" outline="0" fieldPosition="0"/>
    </format>
    <format dxfId="38">
      <pivotArea field="1" type="button" dataOnly="0" labelOnly="1" outline="0" axis="axisCol" fieldPosition="0"/>
    </format>
    <format dxfId="37">
      <pivotArea type="topRight" dataOnly="0" labelOnly="1" outline="0" fieldPosition="0"/>
    </format>
    <format dxfId="36">
      <pivotArea field="7" type="button" dataOnly="0" labelOnly="1" outline="0" axis="axisRow" fieldPosition="0"/>
    </format>
    <format dxfId="35">
      <pivotArea dataOnly="0" labelOnly="1" fieldPosition="0">
        <references count="1">
          <reference field="7" count="9">
            <x v="1"/>
            <x v="2"/>
            <x v="3"/>
            <x v="4"/>
            <x v="5"/>
            <x v="6"/>
            <x v="7"/>
            <x v="8"/>
            <x v="9"/>
          </reference>
        </references>
      </pivotArea>
    </format>
    <format dxfId="34">
      <pivotArea dataOnly="0" labelOnly="1" grandRow="1" outline="0" fieldPosition="0"/>
    </format>
    <format dxfId="33">
      <pivotArea dataOnly="0" labelOnly="1" fieldPosition="0">
        <references count="1">
          <reference field="1" count="0"/>
        </references>
      </pivotArea>
    </format>
    <format dxfId="32">
      <pivotArea dataOnly="0" labelOnly="1" grandCol="1" outline="0" fieldPosition="0"/>
    </format>
    <format dxfId="31">
      <pivotArea outline="0" fieldPosition="0">
        <references count="1">
          <reference field="4294967294" count="1">
            <x v="0"/>
          </reference>
        </references>
      </pivotArea>
    </format>
  </formats>
  <chartFormats count="16">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0"/>
          </reference>
          <reference field="1" count="1" selected="0">
            <x v="5"/>
          </reference>
        </references>
      </pivotArea>
    </chartFormat>
    <chartFormat chart="0" format="10" series="1">
      <pivotArea type="data" outline="0" fieldPosition="0">
        <references count="2">
          <reference field="4294967294" count="1" selected="0">
            <x v="0"/>
          </reference>
          <reference field="1" count="1" selected="0">
            <x v="6"/>
          </reference>
        </references>
      </pivotArea>
    </chartFormat>
    <chartFormat chart="0" format="11" series="1">
      <pivotArea type="data" outline="0" fieldPosition="0">
        <references count="2">
          <reference field="4294967294" count="1" selected="0">
            <x v="0"/>
          </reference>
          <reference field="1" count="1" selected="0">
            <x v="0"/>
          </reference>
        </references>
      </pivotArea>
    </chartFormat>
    <chartFormat chart="0" format="12" series="1">
      <pivotArea type="data" outline="0" fieldPosition="0">
        <references count="2">
          <reference field="4294967294" count="1" selected="0">
            <x v="0"/>
          </reference>
          <reference field="1" count="1" selected="0">
            <x v="1"/>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5" format="21" series="1">
      <pivotArea type="data" outline="0" fieldPosition="0">
        <references count="2">
          <reference field="4294967294" count="1" selected="0">
            <x v="0"/>
          </reference>
          <reference field="1" count="1" selected="0">
            <x v="0"/>
          </reference>
        </references>
      </pivotArea>
    </chartFormat>
    <chartFormat chart="5" format="22" series="1">
      <pivotArea type="data" outline="0" fieldPosition="0">
        <references count="2">
          <reference field="4294967294" count="1" selected="0">
            <x v="0"/>
          </reference>
          <reference field="1" count="1" selected="0">
            <x v="1"/>
          </reference>
        </references>
      </pivotArea>
    </chartFormat>
    <chartFormat chart="5" format="23" series="1">
      <pivotArea type="data" outline="0" fieldPosition="0">
        <references count="2">
          <reference field="4294967294" count="1" selected="0">
            <x v="0"/>
          </reference>
          <reference field="1" count="1" selected="0">
            <x v="2"/>
          </reference>
        </references>
      </pivotArea>
    </chartFormat>
    <chartFormat chart="5" format="24" series="1">
      <pivotArea type="data" outline="0" fieldPosition="0">
        <references count="2">
          <reference field="4294967294" count="1" selected="0">
            <x v="0"/>
          </reference>
          <reference field="1" count="1" selected="0">
            <x v="3"/>
          </reference>
        </references>
      </pivotArea>
    </chartFormat>
    <chartFormat chart="5" format="25" series="1">
      <pivotArea type="data" outline="0" fieldPosition="0">
        <references count="2">
          <reference field="4294967294" count="1" selected="0">
            <x v="0"/>
          </reference>
          <reference field="1" count="1" selected="0">
            <x v="4"/>
          </reference>
        </references>
      </pivotArea>
    </chartFormat>
    <chartFormat chart="5" format="26" series="1">
      <pivotArea type="data" outline="0" fieldPosition="0">
        <references count="2">
          <reference field="4294967294" count="1" selected="0">
            <x v="0"/>
          </reference>
          <reference field="1" count="1" selected="0">
            <x v="5"/>
          </reference>
        </references>
      </pivotArea>
    </chartFormat>
    <chartFormat chart="5" format="27" series="1">
      <pivotArea type="data" outline="0" fieldPosition="0">
        <references count="2">
          <reference field="4294967294" count="1" selected="0">
            <x v="0"/>
          </reference>
          <reference field="1" count="1" selected="0">
            <x v="6"/>
          </reference>
        </references>
      </pivotArea>
    </chartFormat>
    <chartFormat chart="5" format="28"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93F062-03F2-42E9-BAAC-23D9523F7D61}" name="PivotTable7" cacheId="0" applyNumberFormats="0" applyBorderFormats="0" applyFontFormats="0" applyPatternFormats="0" applyAlignmentFormats="0" applyWidthHeightFormats="1" dataCaption="Values" updatedVersion="8" minRefreshableVersion="5" itemPrintTitles="1" createdVersion="8" indent="0" multipleFieldFilters="0" chartFormat="7">
  <location ref="A61:B72" firstHeaderRow="1" firstDataRow="1"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8">
        <item x="0"/>
        <item x="5"/>
        <item x="2"/>
        <item x="6"/>
        <item x="1"/>
        <item x="3"/>
        <item x="4"/>
        <item t="default"/>
      </items>
    </pivotField>
    <pivotField showAll="0">
      <items count="8">
        <item x="4"/>
        <item x="6"/>
        <item x="3"/>
        <item x="5"/>
        <item x="0"/>
        <item x="2"/>
        <item x="1"/>
        <item t="default"/>
      </items>
    </pivotField>
    <pivotField dataField="1" showAll="0"/>
    <pivotField axis="axisRow" showAll="0">
      <items count="12">
        <item m="1" x="10"/>
        <item x="7"/>
        <item x="0"/>
        <item x="1"/>
        <item x="2"/>
        <item x="3"/>
        <item x="4"/>
        <item x="5"/>
        <item x="6"/>
        <item x="9"/>
        <item x="8"/>
        <item t="default"/>
      </items>
    </pivotField>
    <pivotField showAll="0"/>
    <pivotField showAll="0"/>
    <pivotField showAll="0">
      <items count="12">
        <item x="0"/>
        <item x="1"/>
        <item x="2"/>
        <item x="3"/>
        <item x="4"/>
        <item x="5"/>
        <item x="6"/>
        <item x="7"/>
        <item x="8"/>
        <item x="9"/>
        <item x="10"/>
        <item t="default"/>
      </items>
    </pivotField>
  </pivotFields>
  <rowFields count="1">
    <field x="4"/>
  </rowFields>
  <rowItems count="11">
    <i>
      <x v="1"/>
    </i>
    <i>
      <x v="2"/>
    </i>
    <i>
      <x v="3"/>
    </i>
    <i>
      <x v="4"/>
    </i>
    <i>
      <x v="5"/>
    </i>
    <i>
      <x v="6"/>
    </i>
    <i>
      <x v="7"/>
    </i>
    <i>
      <x v="8"/>
    </i>
    <i>
      <x v="9"/>
    </i>
    <i>
      <x v="10"/>
    </i>
    <i t="grand">
      <x/>
    </i>
  </rowItems>
  <colItems count="1">
    <i/>
  </colItems>
  <dataFields count="1">
    <dataField name="WoW % Growth" fld="3" showDataAs="percentDiff" baseField="4" baseItem="1048828" numFmtId="10"/>
  </dataFields>
  <formats count="6">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1B3288-A1DF-4A7B-A319-DB6D5B216C3A}"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3">
  <location ref="A45:B56" firstHeaderRow="1" firstDataRow="1" firstDataCol="1"/>
  <pivotFields count="8">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8">
        <item x="0"/>
        <item x="5"/>
        <item x="2"/>
        <item x="6"/>
        <item x="1"/>
        <item x="3"/>
        <item x="4"/>
        <item t="default"/>
      </items>
    </pivotField>
    <pivotField showAll="0">
      <items count="8">
        <item x="4"/>
        <item x="6"/>
        <item x="3"/>
        <item x="5"/>
        <item x="0"/>
        <item x="2"/>
        <item x="1"/>
        <item t="default"/>
      </items>
    </pivotField>
    <pivotField dataField="1" showAll="0"/>
    <pivotField axis="axisRow" showAll="0">
      <items count="12">
        <item x="7"/>
        <item x="0"/>
        <item x="1"/>
        <item x="2"/>
        <item x="3"/>
        <item x="4"/>
        <item x="5"/>
        <item x="6"/>
        <item x="9"/>
        <item x="8"/>
        <item m="1"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
  </rowFields>
  <rowItems count="11">
    <i>
      <x/>
    </i>
    <i>
      <x v="1"/>
    </i>
    <i>
      <x v="2"/>
    </i>
    <i>
      <x v="3"/>
    </i>
    <i>
      <x v="4"/>
    </i>
    <i>
      <x v="5"/>
    </i>
    <i>
      <x v="6"/>
    </i>
    <i>
      <x v="7"/>
    </i>
    <i>
      <x v="8"/>
    </i>
    <i>
      <x v="9"/>
    </i>
    <i t="grand">
      <x/>
    </i>
  </rowItems>
  <colItems count="1">
    <i/>
  </colItems>
  <dataFields count="1">
    <dataField name="Sum of streams" fld="3" baseField="4" baseItem="0"/>
  </dataFields>
  <formats count="6">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0C0145-2B97-4E42-911D-9F16814277E2}" name="PivotTable5" cacheId="0" applyNumberFormats="0" applyBorderFormats="0" applyFontFormats="0" applyPatternFormats="0" applyAlignmentFormats="0" applyWidthHeightFormats="1" dataCaption="Values" updatedVersion="8" minRefreshableVersion="5" itemPrintTitles="1" createdVersion="8" indent="0" multipleFieldFilters="0" chartFormat="4">
  <location ref="A15:B23" firstHeaderRow="1" firstDataRow="1"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8">
        <item x="0"/>
        <item x="1"/>
        <item x="3"/>
        <item x="6"/>
        <item x="4"/>
        <item x="2"/>
        <item x="5"/>
        <item t="default"/>
      </items>
    </pivotField>
    <pivotField showAll="0">
      <items count="8">
        <item x="4"/>
        <item x="6"/>
        <item x="3"/>
        <item x="5"/>
        <item x="0"/>
        <item x="2"/>
        <item x="1"/>
        <item t="default"/>
      </items>
    </pivotField>
    <pivotField dataField="1" showAll="0"/>
    <pivotField showAll="0">
      <items count="12">
        <item m="1" x="10"/>
        <item x="7"/>
        <item x="0"/>
        <item x="1"/>
        <item x="2"/>
        <item x="3"/>
        <item x="4"/>
        <item x="5"/>
        <item x="6"/>
        <item x="9"/>
        <item x="8"/>
        <item t="default"/>
      </items>
    </pivotField>
    <pivotField showAll="0"/>
    <pivotField showAll="0"/>
    <pivotField showAll="0">
      <items count="12">
        <item x="0"/>
        <item x="1"/>
        <item x="2"/>
        <item x="3"/>
        <item x="4"/>
        <item x="5"/>
        <item x="6"/>
        <item x="7"/>
        <item x="8"/>
        <item x="9"/>
        <item x="10"/>
        <item t="default"/>
      </items>
    </pivotField>
  </pivotFields>
  <rowFields count="1">
    <field x="1"/>
  </rowFields>
  <rowItems count="8">
    <i>
      <x/>
    </i>
    <i>
      <x v="1"/>
    </i>
    <i>
      <x v="2"/>
    </i>
    <i>
      <x v="3"/>
    </i>
    <i>
      <x v="4"/>
    </i>
    <i>
      <x v="5"/>
    </i>
    <i>
      <x v="6"/>
    </i>
    <i t="grand">
      <x/>
    </i>
  </rowItems>
  <colItems count="1">
    <i/>
  </colItems>
  <dataFields count="1">
    <dataField name="Sum of streams" fld="3" baseField="0" baseItem="0"/>
  </dataFields>
  <formats count="6">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3CB1E7-FCF3-4BD0-A7C9-ADB25A258F70}"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7:C45" firstHeaderRow="0" firstDataRow="1" firstDataCol="1" rowPageCount="1" colPageCount="1"/>
  <pivotFields count="8">
    <pivotField axis="axisPage"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8">
        <item x="0"/>
        <item x="5"/>
        <item x="2"/>
        <item x="6"/>
        <item x="1"/>
        <item x="3"/>
        <item x="4"/>
        <item t="default"/>
      </items>
    </pivotField>
    <pivotField axis="axisRow" showAll="0">
      <items count="8">
        <item x="4"/>
        <item x="6"/>
        <item x="3"/>
        <item x="5"/>
        <item x="0"/>
        <item x="2"/>
        <item x="1"/>
        <item t="default"/>
      </items>
    </pivotField>
    <pivotField dataField="1" showAll="0"/>
    <pivotField dataField="1" showAll="0">
      <items count="12">
        <item m="1" x="10"/>
        <item x="7"/>
        <item x="0"/>
        <item x="1"/>
        <item x="2"/>
        <item x="3"/>
        <item x="4"/>
        <item x="5"/>
        <item x="6"/>
        <item x="9"/>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8">
    <i>
      <x/>
    </i>
    <i>
      <x v="1"/>
    </i>
    <i>
      <x v="2"/>
    </i>
    <i>
      <x v="3"/>
    </i>
    <i>
      <x v="4"/>
    </i>
    <i>
      <x v="5"/>
    </i>
    <i>
      <x v="6"/>
    </i>
    <i t="grand">
      <x/>
    </i>
  </rowItems>
  <colFields count="1">
    <field x="-2"/>
  </colFields>
  <colItems count="2">
    <i>
      <x/>
    </i>
    <i i="1">
      <x v="1"/>
    </i>
  </colItems>
  <pageFields count="1">
    <pageField fld="0" hier="-1"/>
  </pageFields>
  <dataFields count="2">
    <dataField name="Average of streams" fld="3" subtotal="average" baseField="2" baseItem="0"/>
    <dataField name="Average of week_of_year" fld="4" subtotal="average" baseField="2" baseItem="0"/>
  </dataFields>
  <formats count="6">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9B5172-30B0-4AD3-84AA-BFD051A1D959}" name="PivotTable9" cacheId="0" applyNumberFormats="0" applyBorderFormats="0" applyFontFormats="0" applyPatternFormats="0" applyAlignmentFormats="0" applyWidthHeightFormats="1" dataCaption="Values" updatedVersion="8" minRefreshableVersion="5" itemPrintTitles="1" createdVersion="8" indent="0" multipleFieldFilters="0" chartFormat="4">
  <location ref="A19:B29" firstHeaderRow="1" firstDataRow="1"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8">
        <item x="0"/>
        <item x="5"/>
        <item x="2"/>
        <item x="6"/>
        <item x="1"/>
        <item x="3"/>
        <item x="4"/>
        <item t="default"/>
      </items>
    </pivotField>
    <pivotField showAll="0">
      <items count="8">
        <item x="4"/>
        <item x="6"/>
        <item x="3"/>
        <item x="5"/>
        <item x="0"/>
        <item x="2"/>
        <item x="1"/>
        <item t="default"/>
      </items>
    </pivotField>
    <pivotField dataField="1" showAll="0"/>
    <pivotField showAll="0">
      <items count="12">
        <item m="1" x="10"/>
        <item x="7"/>
        <item x="0"/>
        <item x="1"/>
        <item x="2"/>
        <item x="3"/>
        <item x="4"/>
        <item x="5"/>
        <item x="6"/>
        <item x="9"/>
        <item x="8"/>
        <item t="default"/>
      </items>
    </pivotField>
    <pivotField showAll="0"/>
    <pivotField showAll="0"/>
    <pivotField axis="axisRow" showAll="0">
      <items count="12">
        <item x="0"/>
        <item x="1"/>
        <item x="2"/>
        <item x="3"/>
        <item x="4"/>
        <item x="5"/>
        <item x="6"/>
        <item x="7"/>
        <item x="8"/>
        <item x="9"/>
        <item x="10"/>
        <item t="default"/>
      </items>
    </pivotField>
  </pivotFields>
  <rowFields count="1">
    <field x="7"/>
  </rowFields>
  <rowItems count="10">
    <i>
      <x v="1"/>
    </i>
    <i>
      <x v="2"/>
    </i>
    <i>
      <x v="3"/>
    </i>
    <i>
      <x v="4"/>
    </i>
    <i>
      <x v="5"/>
    </i>
    <i>
      <x v="6"/>
    </i>
    <i>
      <x v="7"/>
    </i>
    <i>
      <x v="8"/>
    </i>
    <i>
      <x v="9"/>
    </i>
    <i t="grand">
      <x/>
    </i>
  </rowItems>
  <colItems count="1">
    <i/>
  </colItems>
  <dataFields count="1">
    <dataField name="Sum of stream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F0F22-C332-45FF-805B-06A385B09D83}"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58:A73" firstHeaderRow="1" firstDataRow="1" firstDataCol="1"/>
  <pivotFields count="8">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8">
        <item x="0"/>
        <item x="5"/>
        <item x="2"/>
        <item x="6"/>
        <item x="1"/>
        <item x="3"/>
        <item x="4"/>
        <item t="default"/>
      </items>
    </pivotField>
    <pivotField axis="axisRow" showAll="0">
      <items count="8">
        <item x="4"/>
        <item x="6"/>
        <item x="3"/>
        <item x="5"/>
        <item x="0"/>
        <item x="2"/>
        <item x="1"/>
        <item t="default"/>
      </items>
    </pivotField>
    <pivotField showAll="0"/>
    <pivotField showAll="0">
      <items count="12">
        <item m="1" x="10"/>
        <item x="7"/>
        <item x="0"/>
        <item x="1"/>
        <item x="2"/>
        <item x="3"/>
        <item x="4"/>
        <item x="5"/>
        <item x="6"/>
        <item x="9"/>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1"/>
    <field x="2"/>
  </rowFields>
  <rowItems count="15">
    <i>
      <x/>
    </i>
    <i r="1">
      <x v="4"/>
    </i>
    <i>
      <x v="1"/>
    </i>
    <i r="1">
      <x v="3"/>
    </i>
    <i>
      <x v="2"/>
    </i>
    <i r="1">
      <x v="5"/>
    </i>
    <i>
      <x v="3"/>
    </i>
    <i r="1">
      <x v="1"/>
    </i>
    <i>
      <x v="4"/>
    </i>
    <i r="1">
      <x v="6"/>
    </i>
    <i>
      <x v="5"/>
    </i>
    <i r="1">
      <x v="2"/>
    </i>
    <i>
      <x v="6"/>
    </i>
    <i r="1">
      <x/>
    </i>
    <i t="grand">
      <x/>
    </i>
  </rowItems>
  <colItems count="1">
    <i/>
  </colItems>
  <formats count="11">
    <format dxfId="25">
      <pivotArea type="all" dataOnly="0" outline="0"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fieldPosition="0">
        <references count="2">
          <reference field="1" count="1" selected="0">
            <x v="0"/>
          </reference>
          <reference field="2" count="1">
            <x v="4"/>
          </reference>
        </references>
      </pivotArea>
    </format>
    <format dxfId="20">
      <pivotArea dataOnly="0" labelOnly="1" fieldPosition="0">
        <references count="2">
          <reference field="1" count="1" selected="0">
            <x v="1"/>
          </reference>
          <reference field="2" count="1">
            <x v="3"/>
          </reference>
        </references>
      </pivotArea>
    </format>
    <format dxfId="19">
      <pivotArea dataOnly="0" labelOnly="1" fieldPosition="0">
        <references count="2">
          <reference field="1" count="1" selected="0">
            <x v="2"/>
          </reference>
          <reference field="2" count="1">
            <x v="5"/>
          </reference>
        </references>
      </pivotArea>
    </format>
    <format dxfId="18">
      <pivotArea dataOnly="0" labelOnly="1" fieldPosition="0">
        <references count="2">
          <reference field="1" count="1" selected="0">
            <x v="3"/>
          </reference>
          <reference field="2" count="1">
            <x v="1"/>
          </reference>
        </references>
      </pivotArea>
    </format>
    <format dxfId="17">
      <pivotArea dataOnly="0" labelOnly="1" fieldPosition="0">
        <references count="2">
          <reference field="1" count="1" selected="0">
            <x v="4"/>
          </reference>
          <reference field="2" count="1">
            <x v="6"/>
          </reference>
        </references>
      </pivotArea>
    </format>
    <format dxfId="16">
      <pivotArea dataOnly="0" labelOnly="1" fieldPosition="0">
        <references count="2">
          <reference field="1" count="1" selected="0">
            <x v="5"/>
          </reference>
          <reference field="2" count="1">
            <x v="2"/>
          </reference>
        </references>
      </pivotArea>
    </format>
    <format dxfId="15">
      <pivotArea dataOnly="0" labelOnly="1" fieldPosition="0">
        <references count="2">
          <reference field="1" count="1" selected="0">
            <x v="6"/>
          </reference>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4C842A-D6E0-4C1E-9351-02BFD5A03CA0}" autoFormatId="16" applyNumberFormats="0" applyBorderFormats="0" applyFontFormats="0" applyPatternFormats="0" applyAlignmentFormats="0" applyWidthHeightFormats="0">
  <queryTableRefresh nextId="6">
    <queryTableFields count="5">
      <queryTableField id="1" name="date.1" tableColumnId="1"/>
      <queryTableField id="2" name="track" tableColumnId="2"/>
      <queryTableField id="3" name="artist" tableColumnId="3"/>
      <queryTableField id="4" name="streams" tableColumnId="4"/>
      <queryTableField id="5" name="week_of_yea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677F8BF6-89EA-4F37-B3E5-0122261DC64B}" sourceName="artist">
  <pivotTables>
    <pivotTable tabId="5" name="PivotTable1"/>
    <pivotTable tabId="14" name="PivotTable1"/>
    <pivotTable tabId="14" name="PivotTable2"/>
    <pivotTable tabId="5" name="PivotTable6"/>
    <pivotTable tabId="14" name="PivotTable9"/>
    <pivotTable tabId="5" name="PivotTable3"/>
    <pivotTable tabId="5" name="PivotTable5"/>
    <pivotTable tabId="5" name="PivotTable7"/>
    <pivotTable tabId="5" name="PivotTable8"/>
  </pivotTables>
  <data>
    <tabular pivotCacheId="467726372">
      <items count="7">
        <i x="4" s="1"/>
        <i x="6" s="1"/>
        <i x="3" s="1"/>
        <i x="5"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of_year" xr10:uid="{9F97E62C-59DF-4748-85F2-02CDEF907520}" sourceName="week_of_year">
  <pivotTables>
    <pivotTable tabId="14" name="PivotTable1"/>
    <pivotTable tabId="5" name="PivotTable1"/>
    <pivotTable tabId="14" name="PivotTable2"/>
    <pivotTable tabId="5" name="PivotTable6"/>
    <pivotTable tabId="14" name="PivotTable9"/>
    <pivotTable tabId="5" name="PivotTable3"/>
    <pivotTable tabId="5" name="PivotTable5"/>
    <pivotTable tabId="5" name="PivotTable7"/>
    <pivotTable tabId="5" name="PivotTable8"/>
  </pivotTables>
  <data>
    <tabular pivotCacheId="467726372">
      <items count="11">
        <i x="7" s="1"/>
        <i x="0" s="1"/>
        <i x="1" s="1"/>
        <i x="2" s="1"/>
        <i x="3" s="1"/>
        <i x="4" s="1"/>
        <i x="5" s="1"/>
        <i x="6" s="1"/>
        <i x="9" s="1"/>
        <i x="8"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 xr10:uid="{FA848BEE-9D2E-40F7-A334-0A2286C9FE48}" sourceName="track">
  <pivotTables>
    <pivotTable tabId="14" name="PivotTable1"/>
    <pivotTable tabId="5" name="PivotTable1"/>
    <pivotTable tabId="14" name="PivotTable2"/>
    <pivotTable tabId="5" name="PivotTable6"/>
    <pivotTable tabId="14" name="PivotTable9"/>
    <pivotTable tabId="5" name="PivotTable3"/>
    <pivotTable tabId="5" name="PivotTable5"/>
    <pivotTable tabId="5" name="PivotTable7"/>
    <pivotTable tabId="5" name="PivotTable8"/>
  </pivotTables>
  <data>
    <tabular pivotCacheId="467726372">
      <items count="7">
        <i x="0" s="1"/>
        <i x="5" s="1"/>
        <i x="2" s="1"/>
        <i x="6"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xr10:uid="{8065F082-A8EB-41CA-8B78-AF59E85C94C0}" cache="Slicer_artist" caption="artist" style="SlicerStyleDark6" rowHeight="251883"/>
  <slicer name="week_of_year" xr10:uid="{C23AE112-7DB3-43A2-B7A0-3E0824F54A46}" cache="Slicer_week_of_year" caption="week_of_year" rowHeight="251883"/>
  <slicer name="track" xr10:uid="{17889241-576F-4EE0-B0F7-8FF80DFF9DD4}" cache="Slicer_track" caption="track" style="SlicerStyleLight5"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76726-5539-4729-B9CF-F2881D3AEB51}" name="Table1" displayName="Table1" ref="A2:F378" totalsRowShown="0" headerRowDxfId="78" headerRowBorderDxfId="77" tableBorderDxfId="76" totalsRowBorderDxfId="75">
  <autoFilter ref="A2:F378" xr:uid="{DD576726-5539-4729-B9CF-F2881D3AEB51}"/>
  <sortState xmlns:xlrd2="http://schemas.microsoft.com/office/spreadsheetml/2017/richdata2" ref="A3:F378">
    <sortCondition ref="A3:A378"/>
    <sortCondition ref="B3:B378"/>
    <sortCondition ref="C3:C378"/>
    <sortCondition ref="D3:D378"/>
    <sortCondition ref="E3:E378"/>
    <sortCondition ref="F3:F378"/>
  </sortState>
  <tableColumns count="6">
    <tableColumn id="1" xr3:uid="{FDABE774-C9D0-461E-B687-093FDE815E3B}" name="date" dataDxfId="74"/>
    <tableColumn id="2" xr3:uid="{5EF2F529-7850-463C-A264-B45B0DC11CF5}" name="track" dataDxfId="73"/>
    <tableColumn id="3" xr3:uid="{923654F2-4018-4870-8949-3DFA0F11AB94}" name="artist" dataDxfId="72"/>
    <tableColumn id="4" xr3:uid="{D756055F-5E14-41D0-B009-495B8EB19897}" name="streams" dataDxfId="71"/>
    <tableColumn id="5" xr3:uid="{DFD9F527-FF31-41CD-8DE0-92CA69EBDD20}" name="day_of_week" dataDxfId="70"/>
    <tableColumn id="6" xr3:uid="{1C4B9AD7-7A53-4EE6-A692-09027F88CBE5}" name="week_of_year" dataDxfId="69"/>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2D178A-556B-4414-B949-115C9C56E1E6}" name="Table1_1" displayName="Table1_1" ref="A1:E377" tableType="queryTable" totalsRowShown="0" headerRowDxfId="68" headerRowBorderDxfId="67" tableBorderDxfId="66" totalsRowBorderDxfId="65">
  <autoFilter ref="A1:E377" xr:uid="{8B2D178A-556B-4414-B949-115C9C56E1E6}"/>
  <tableColumns count="5">
    <tableColumn id="1" xr3:uid="{E8EB1AAF-8E18-4E59-A247-DC2316993D76}" uniqueName="1" name="date.1" queryTableFieldId="1" dataDxfId="64"/>
    <tableColumn id="2" xr3:uid="{BCBF0148-CB67-4123-804C-086595FF0EED}" uniqueName="2" name="track" queryTableFieldId="2" dataDxfId="63"/>
    <tableColumn id="3" xr3:uid="{D1E974CC-4135-4FD2-872F-EF2CCEE75A62}" uniqueName="3" name="artist" queryTableFieldId="3" dataDxfId="62"/>
    <tableColumn id="4" xr3:uid="{C027EC52-545E-4D6C-B4C5-A90338461F3C}" uniqueName="4" name="streams" queryTableFieldId="4" dataDxfId="61"/>
    <tableColumn id="5" xr3:uid="{A6F003B7-9227-4C1C-8DCE-BF9A36F959F0}" uniqueName="5" name="week_of_year" queryTableFieldId="5" dataDxfId="6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ED7263-9C34-41E3-8C6B-1E85DB7A50FE}" name="Table3" displayName="Table3" ref="A4:E14" totalsRowShown="0" headerRowDxfId="8" headerRowBorderDxfId="7" tableBorderDxfId="6" totalsRowBorderDxfId="5">
  <autoFilter ref="A4:E14" xr:uid="{1BED7263-9C34-41E3-8C6B-1E85DB7A50FE}"/>
  <tableColumns count="5">
    <tableColumn id="1" xr3:uid="{AA3730C0-A24A-4C35-AFC4-B229092624F6}" name="Row Labels" dataDxfId="4"/>
    <tableColumn id="2" xr3:uid="{B8E5B29B-E509-40AA-97E8-941123DABDE2}" name="Sum of streams" dataDxfId="3"/>
    <tableColumn id="3" xr3:uid="{44E3F4EF-F054-424F-89AA-D6FAB8FF5307}" name="Forecast(Sum of streams)" dataDxfId="2"/>
    <tableColumn id="4" xr3:uid="{6C85378C-DC8D-452C-B2A8-B03DE0152553}" name="Lower Confidence Bound(Sum of streams)" dataDxfId="1"/>
    <tableColumn id="5" xr3:uid="{09394510-F4B3-4F79-94CF-7D8421E2B521}" name="Upper Confidence Bound(Sum of stream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D004D46F-D985-44CA-B652-EB41C5B6A61E}" sourceName="date.1">
  <pivotTables>
    <pivotTable tabId="5" name="PivotTable1"/>
    <pivotTable tabId="14" name="PivotTable1"/>
    <pivotTable tabId="14" name="PivotTable2"/>
    <pivotTable tabId="5" name="PivotTable6"/>
    <pivotTable tabId="14" name="PivotTable9"/>
    <pivotTable tabId="5" name="PivotTable3"/>
    <pivotTable tabId="5" name="PivotTable5"/>
    <pivotTable tabId="5" name="PivotTable7"/>
    <pivotTable tabId="5" name="PivotTable8"/>
  </pivotTables>
  <state minimalRefreshVersion="6" lastRefreshVersion="6" pivotCacheId="467726372" filterType="unknown">
    <bounds startDate="2017-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1" xr10:uid="{B073060C-3E10-4CF6-8B40-EA2853B68F52}" cache="NativeTimeline_date.1" caption="date.1" level="0" selectionLevel="0" scrollPosition="2019-03-14T00:00:00" style="TimeSlicerStyleLight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2803-9053-44D0-92F2-82CDB87EDD28}">
  <sheetPr>
    <tabColor rgb="FFFFFFCC"/>
  </sheetPr>
  <dimension ref="A1:F377"/>
  <sheetViews>
    <sheetView topLeftCell="A348" zoomScaleNormal="100" workbookViewId="0">
      <selection activeCell="B22" sqref="B22"/>
    </sheetView>
  </sheetViews>
  <sheetFormatPr defaultRowHeight="14.5" x14ac:dyDescent="0.35"/>
  <cols>
    <col min="1" max="1" width="16.90625" customWidth="1"/>
    <col min="2" max="2" width="17.36328125" customWidth="1"/>
  </cols>
  <sheetData>
    <row r="1" spans="1:6" x14ac:dyDescent="0.35">
      <c r="A1" t="s">
        <v>0</v>
      </c>
      <c r="B1" t="s">
        <v>1</v>
      </c>
      <c r="C1" t="s">
        <v>2</v>
      </c>
      <c r="D1" t="s">
        <v>3</v>
      </c>
      <c r="E1" t="s">
        <v>4</v>
      </c>
      <c r="F1" t="s">
        <v>5</v>
      </c>
    </row>
    <row r="2" spans="1:6" x14ac:dyDescent="0.35">
      <c r="A2" s="1">
        <v>43055</v>
      </c>
      <c r="B2" t="s">
        <v>6</v>
      </c>
      <c r="C2" t="s">
        <v>7</v>
      </c>
      <c r="D2">
        <v>3821572</v>
      </c>
      <c r="E2" t="s">
        <v>8</v>
      </c>
      <c r="F2">
        <v>46</v>
      </c>
    </row>
    <row r="3" spans="1:6" x14ac:dyDescent="0.35">
      <c r="A3" s="1">
        <v>43062</v>
      </c>
      <c r="B3" t="s">
        <v>6</v>
      </c>
      <c r="C3" t="s">
        <v>7</v>
      </c>
      <c r="D3">
        <v>6130250</v>
      </c>
      <c r="E3" t="s">
        <v>8</v>
      </c>
      <c r="F3">
        <v>47</v>
      </c>
    </row>
    <row r="4" spans="1:6" x14ac:dyDescent="0.35">
      <c r="A4" s="1">
        <v>43062</v>
      </c>
      <c r="B4" t="s">
        <v>9</v>
      </c>
      <c r="C4" t="s">
        <v>10</v>
      </c>
      <c r="D4">
        <v>4040197</v>
      </c>
      <c r="E4" t="s">
        <v>8</v>
      </c>
      <c r="F4">
        <v>47</v>
      </c>
    </row>
    <row r="5" spans="1:6" x14ac:dyDescent="0.35">
      <c r="A5" s="1">
        <v>43069</v>
      </c>
      <c r="B5" t="s">
        <v>6</v>
      </c>
      <c r="C5" t="s">
        <v>7</v>
      </c>
      <c r="D5">
        <v>11641888</v>
      </c>
      <c r="E5" t="s">
        <v>8</v>
      </c>
      <c r="F5">
        <v>48</v>
      </c>
    </row>
    <row r="6" spans="1:6" x14ac:dyDescent="0.35">
      <c r="A6" s="1">
        <v>43069</v>
      </c>
      <c r="B6" t="s">
        <v>11</v>
      </c>
      <c r="C6" t="s">
        <v>12</v>
      </c>
      <c r="D6">
        <v>4577042</v>
      </c>
      <c r="E6" t="s">
        <v>8</v>
      </c>
      <c r="F6">
        <v>48</v>
      </c>
    </row>
    <row r="7" spans="1:6" x14ac:dyDescent="0.35">
      <c r="A7" s="1">
        <v>43069</v>
      </c>
      <c r="B7" t="s">
        <v>9</v>
      </c>
      <c r="C7" t="s">
        <v>10</v>
      </c>
      <c r="D7">
        <v>7133652</v>
      </c>
      <c r="E7" t="s">
        <v>8</v>
      </c>
      <c r="F7">
        <v>48</v>
      </c>
    </row>
    <row r="8" spans="1:6" x14ac:dyDescent="0.35">
      <c r="A8" s="1">
        <v>43069</v>
      </c>
      <c r="B8" t="s">
        <v>13</v>
      </c>
      <c r="C8" t="s">
        <v>14</v>
      </c>
      <c r="D8">
        <v>4423222</v>
      </c>
      <c r="E8" t="s">
        <v>8</v>
      </c>
      <c r="F8">
        <v>48</v>
      </c>
    </row>
    <row r="9" spans="1:6" x14ac:dyDescent="0.35">
      <c r="A9" s="1">
        <v>43069</v>
      </c>
      <c r="B9" t="s">
        <v>15</v>
      </c>
      <c r="C9" t="s">
        <v>16</v>
      </c>
      <c r="D9">
        <v>4221612</v>
      </c>
      <c r="E9" t="s">
        <v>8</v>
      </c>
      <c r="F9">
        <v>48</v>
      </c>
    </row>
    <row r="10" spans="1:6" x14ac:dyDescent="0.35">
      <c r="A10" s="1">
        <v>43076</v>
      </c>
      <c r="B10" t="s">
        <v>6</v>
      </c>
      <c r="C10" t="s">
        <v>7</v>
      </c>
      <c r="D10">
        <v>19808428</v>
      </c>
      <c r="E10" t="s">
        <v>8</v>
      </c>
      <c r="F10">
        <v>49</v>
      </c>
    </row>
    <row r="11" spans="1:6" x14ac:dyDescent="0.35">
      <c r="A11" s="1">
        <v>43076</v>
      </c>
      <c r="B11" t="s">
        <v>17</v>
      </c>
      <c r="C11" t="s">
        <v>18</v>
      </c>
      <c r="D11">
        <v>4780300</v>
      </c>
      <c r="E11" t="s">
        <v>8</v>
      </c>
      <c r="F11">
        <v>49</v>
      </c>
    </row>
    <row r="12" spans="1:6" x14ac:dyDescent="0.35">
      <c r="A12" s="1">
        <v>43076</v>
      </c>
      <c r="B12" t="s">
        <v>11</v>
      </c>
      <c r="C12" t="s">
        <v>12</v>
      </c>
      <c r="D12">
        <v>8172327</v>
      </c>
      <c r="E12" t="s">
        <v>8</v>
      </c>
      <c r="F12">
        <v>49</v>
      </c>
    </row>
    <row r="13" spans="1:6" x14ac:dyDescent="0.35">
      <c r="A13" s="1">
        <v>43076</v>
      </c>
      <c r="B13" t="s">
        <v>9</v>
      </c>
      <c r="C13" t="s">
        <v>10</v>
      </c>
      <c r="D13">
        <v>13594807</v>
      </c>
      <c r="E13" t="s">
        <v>8</v>
      </c>
      <c r="F13">
        <v>49</v>
      </c>
    </row>
    <row r="14" spans="1:6" x14ac:dyDescent="0.35">
      <c r="A14" s="1">
        <v>43076</v>
      </c>
      <c r="B14" t="s">
        <v>13</v>
      </c>
      <c r="C14" t="s">
        <v>14</v>
      </c>
      <c r="D14">
        <v>6903809</v>
      </c>
      <c r="E14" t="s">
        <v>8</v>
      </c>
      <c r="F14">
        <v>49</v>
      </c>
    </row>
    <row r="15" spans="1:6" x14ac:dyDescent="0.35">
      <c r="A15" s="1">
        <v>43076</v>
      </c>
      <c r="B15" t="s">
        <v>15</v>
      </c>
      <c r="C15" t="s">
        <v>16</v>
      </c>
      <c r="D15">
        <v>7521462</v>
      </c>
      <c r="E15" t="s">
        <v>8</v>
      </c>
      <c r="F15">
        <v>49</v>
      </c>
    </row>
    <row r="16" spans="1:6" x14ac:dyDescent="0.35">
      <c r="A16" s="1">
        <v>43083</v>
      </c>
      <c r="B16" t="s">
        <v>6</v>
      </c>
      <c r="C16" t="s">
        <v>7</v>
      </c>
      <c r="D16">
        <v>21535828</v>
      </c>
      <c r="E16" t="s">
        <v>8</v>
      </c>
      <c r="F16">
        <v>50</v>
      </c>
    </row>
    <row r="17" spans="1:6" x14ac:dyDescent="0.35">
      <c r="A17" s="1">
        <v>43083</v>
      </c>
      <c r="B17" t="s">
        <v>17</v>
      </c>
      <c r="C17" t="s">
        <v>18</v>
      </c>
      <c r="D17">
        <v>5436759</v>
      </c>
      <c r="E17" t="s">
        <v>8</v>
      </c>
      <c r="F17">
        <v>50</v>
      </c>
    </row>
    <row r="18" spans="1:6" x14ac:dyDescent="0.35">
      <c r="A18" s="1">
        <v>43083</v>
      </c>
      <c r="B18" t="s">
        <v>11</v>
      </c>
      <c r="C18" t="s">
        <v>12</v>
      </c>
      <c r="D18">
        <v>9148642</v>
      </c>
      <c r="E18" t="s">
        <v>8</v>
      </c>
      <c r="F18">
        <v>50</v>
      </c>
    </row>
    <row r="19" spans="1:6" x14ac:dyDescent="0.35">
      <c r="A19" s="1">
        <v>43083</v>
      </c>
      <c r="B19" t="s">
        <v>9</v>
      </c>
      <c r="C19" t="s">
        <v>10</v>
      </c>
      <c r="D19">
        <v>14990547</v>
      </c>
      <c r="E19" t="s">
        <v>8</v>
      </c>
      <c r="F19">
        <v>50</v>
      </c>
    </row>
    <row r="20" spans="1:6" x14ac:dyDescent="0.35">
      <c r="A20" s="1">
        <v>43083</v>
      </c>
      <c r="B20" t="s">
        <v>13</v>
      </c>
      <c r="C20" t="s">
        <v>14</v>
      </c>
      <c r="D20">
        <v>7888911</v>
      </c>
      <c r="E20" t="s">
        <v>8</v>
      </c>
      <c r="F20">
        <v>50</v>
      </c>
    </row>
    <row r="21" spans="1:6" x14ac:dyDescent="0.35">
      <c r="A21" s="1">
        <v>43083</v>
      </c>
      <c r="B21" t="s">
        <v>15</v>
      </c>
      <c r="C21" t="s">
        <v>16</v>
      </c>
      <c r="D21">
        <v>8590324</v>
      </c>
      <c r="E21" t="s">
        <v>8</v>
      </c>
      <c r="F21">
        <v>50</v>
      </c>
    </row>
    <row r="22" spans="1:6" x14ac:dyDescent="0.35">
      <c r="A22" s="1">
        <v>43090</v>
      </c>
      <c r="B22" t="s">
        <v>6</v>
      </c>
      <c r="C22" t="s">
        <v>7</v>
      </c>
      <c r="D22">
        <v>23318198</v>
      </c>
      <c r="E22" t="s">
        <v>8</v>
      </c>
      <c r="F22">
        <v>51</v>
      </c>
    </row>
    <row r="23" spans="1:6" x14ac:dyDescent="0.35">
      <c r="A23" s="1">
        <v>43090</v>
      </c>
      <c r="B23" t="s">
        <v>17</v>
      </c>
      <c r="C23" t="s">
        <v>18</v>
      </c>
      <c r="D23">
        <v>6030397</v>
      </c>
      <c r="E23" t="s">
        <v>8</v>
      </c>
      <c r="F23">
        <v>51</v>
      </c>
    </row>
    <row r="24" spans="1:6" x14ac:dyDescent="0.35">
      <c r="A24" s="1">
        <v>43090</v>
      </c>
      <c r="B24" t="s">
        <v>11</v>
      </c>
      <c r="C24" t="s">
        <v>12</v>
      </c>
      <c r="D24">
        <v>10104650</v>
      </c>
      <c r="E24" t="s">
        <v>8</v>
      </c>
      <c r="F24">
        <v>51</v>
      </c>
    </row>
    <row r="25" spans="1:6" x14ac:dyDescent="0.35">
      <c r="A25" s="1">
        <v>43090</v>
      </c>
      <c r="B25" t="s">
        <v>19</v>
      </c>
      <c r="C25" t="s">
        <v>20</v>
      </c>
      <c r="D25">
        <v>6469998</v>
      </c>
      <c r="E25" t="s">
        <v>8</v>
      </c>
      <c r="F25">
        <v>51</v>
      </c>
    </row>
    <row r="26" spans="1:6" x14ac:dyDescent="0.35">
      <c r="A26" s="1">
        <v>43090</v>
      </c>
      <c r="B26" t="s">
        <v>9</v>
      </c>
      <c r="C26" t="s">
        <v>10</v>
      </c>
      <c r="D26">
        <v>16218650</v>
      </c>
      <c r="E26" t="s">
        <v>8</v>
      </c>
      <c r="F26">
        <v>51</v>
      </c>
    </row>
    <row r="27" spans="1:6" x14ac:dyDescent="0.35">
      <c r="A27" s="1">
        <v>43090</v>
      </c>
      <c r="B27" t="s">
        <v>13</v>
      </c>
      <c r="C27" t="s">
        <v>14</v>
      </c>
      <c r="D27">
        <v>8760279</v>
      </c>
      <c r="E27" t="s">
        <v>8</v>
      </c>
      <c r="F27">
        <v>51</v>
      </c>
    </row>
    <row r="28" spans="1:6" x14ac:dyDescent="0.35">
      <c r="A28" s="1">
        <v>43090</v>
      </c>
      <c r="B28" t="s">
        <v>15</v>
      </c>
      <c r="C28" t="s">
        <v>16</v>
      </c>
      <c r="D28">
        <v>8712246</v>
      </c>
      <c r="E28" t="s">
        <v>8</v>
      </c>
      <c r="F28">
        <v>51</v>
      </c>
    </row>
    <row r="29" spans="1:6" x14ac:dyDescent="0.35">
      <c r="A29" s="1">
        <v>43097</v>
      </c>
      <c r="B29" t="s">
        <v>6</v>
      </c>
      <c r="C29" t="s">
        <v>7</v>
      </c>
      <c r="D29">
        <v>27628914</v>
      </c>
      <c r="E29" t="s">
        <v>8</v>
      </c>
      <c r="F29">
        <v>52</v>
      </c>
    </row>
    <row r="30" spans="1:6" x14ac:dyDescent="0.35">
      <c r="A30" s="1">
        <v>43097</v>
      </c>
      <c r="B30" t="s">
        <v>17</v>
      </c>
      <c r="C30" t="s">
        <v>18</v>
      </c>
      <c r="D30">
        <v>9296091</v>
      </c>
      <c r="E30" t="s">
        <v>8</v>
      </c>
      <c r="F30">
        <v>52</v>
      </c>
    </row>
    <row r="31" spans="1:6" x14ac:dyDescent="0.35">
      <c r="A31" s="1">
        <v>43097</v>
      </c>
      <c r="B31" t="s">
        <v>11</v>
      </c>
      <c r="C31" t="s">
        <v>12</v>
      </c>
      <c r="D31">
        <v>13357262</v>
      </c>
      <c r="E31" t="s">
        <v>8</v>
      </c>
      <c r="F31">
        <v>52</v>
      </c>
    </row>
    <row r="32" spans="1:6" x14ac:dyDescent="0.35">
      <c r="A32" s="1">
        <v>43097</v>
      </c>
      <c r="B32" t="s">
        <v>19</v>
      </c>
      <c r="C32" t="s">
        <v>20</v>
      </c>
      <c r="D32">
        <v>9781597</v>
      </c>
      <c r="E32" t="s">
        <v>8</v>
      </c>
      <c r="F32">
        <v>52</v>
      </c>
    </row>
    <row r="33" spans="1:6" x14ac:dyDescent="0.35">
      <c r="A33" s="1">
        <v>43097</v>
      </c>
      <c r="B33" t="s">
        <v>9</v>
      </c>
      <c r="C33" t="s">
        <v>10</v>
      </c>
      <c r="D33">
        <v>21543828</v>
      </c>
      <c r="E33" t="s">
        <v>8</v>
      </c>
      <c r="F33">
        <v>52</v>
      </c>
    </row>
    <row r="34" spans="1:6" x14ac:dyDescent="0.35">
      <c r="A34" s="1">
        <v>43097</v>
      </c>
      <c r="B34" t="s">
        <v>13</v>
      </c>
      <c r="C34" t="s">
        <v>14</v>
      </c>
      <c r="D34">
        <v>11900150</v>
      </c>
      <c r="E34" t="s">
        <v>8</v>
      </c>
      <c r="F34">
        <v>52</v>
      </c>
    </row>
    <row r="35" spans="1:6" x14ac:dyDescent="0.35">
      <c r="A35" s="1">
        <v>43097</v>
      </c>
      <c r="B35" t="s">
        <v>15</v>
      </c>
      <c r="C35" t="s">
        <v>16</v>
      </c>
      <c r="D35">
        <v>11977857</v>
      </c>
      <c r="E35" t="s">
        <v>8</v>
      </c>
      <c r="F35">
        <v>52</v>
      </c>
    </row>
    <row r="36" spans="1:6" x14ac:dyDescent="0.35">
      <c r="A36" s="1">
        <v>43419</v>
      </c>
      <c r="B36" t="s">
        <v>6</v>
      </c>
      <c r="C36" t="s">
        <v>7</v>
      </c>
      <c r="D36">
        <v>5967226</v>
      </c>
      <c r="E36" t="s">
        <v>8</v>
      </c>
      <c r="F36">
        <v>46</v>
      </c>
    </row>
    <row r="37" spans="1:6" x14ac:dyDescent="0.35">
      <c r="A37" s="1">
        <v>43426</v>
      </c>
      <c r="B37" t="s">
        <v>6</v>
      </c>
      <c r="C37" t="s">
        <v>7</v>
      </c>
      <c r="D37">
        <v>9371356</v>
      </c>
      <c r="E37" t="s">
        <v>8</v>
      </c>
      <c r="F37">
        <v>47</v>
      </c>
    </row>
    <row r="38" spans="1:6" x14ac:dyDescent="0.35">
      <c r="A38" s="1">
        <v>43426</v>
      </c>
      <c r="B38" t="s">
        <v>11</v>
      </c>
      <c r="C38" t="s">
        <v>12</v>
      </c>
      <c r="D38">
        <v>4139746</v>
      </c>
      <c r="E38" t="s">
        <v>8</v>
      </c>
      <c r="F38">
        <v>47</v>
      </c>
    </row>
    <row r="39" spans="1:6" x14ac:dyDescent="0.35">
      <c r="A39" s="1">
        <v>43426</v>
      </c>
      <c r="B39" t="s">
        <v>9</v>
      </c>
      <c r="C39" t="s">
        <v>10</v>
      </c>
      <c r="D39">
        <v>5648833</v>
      </c>
      <c r="E39" t="s">
        <v>8</v>
      </c>
      <c r="F39">
        <v>47</v>
      </c>
    </row>
    <row r="40" spans="1:6" x14ac:dyDescent="0.35">
      <c r="A40" s="1">
        <v>43426</v>
      </c>
      <c r="B40" t="s">
        <v>13</v>
      </c>
      <c r="C40" t="s">
        <v>14</v>
      </c>
      <c r="D40">
        <v>4296514</v>
      </c>
      <c r="E40" t="s">
        <v>8</v>
      </c>
      <c r="F40">
        <v>47</v>
      </c>
    </row>
    <row r="41" spans="1:6" x14ac:dyDescent="0.35">
      <c r="A41" s="1">
        <v>43426</v>
      </c>
      <c r="B41" t="s">
        <v>15</v>
      </c>
      <c r="C41" t="s">
        <v>16</v>
      </c>
      <c r="D41">
        <v>4938848</v>
      </c>
      <c r="E41" t="s">
        <v>8</v>
      </c>
      <c r="F41">
        <v>47</v>
      </c>
    </row>
    <row r="42" spans="1:6" x14ac:dyDescent="0.35">
      <c r="A42" s="1">
        <v>43433</v>
      </c>
      <c r="B42" t="s">
        <v>6</v>
      </c>
      <c r="C42" t="s">
        <v>7</v>
      </c>
      <c r="D42">
        <v>14533064</v>
      </c>
      <c r="E42" t="s">
        <v>8</v>
      </c>
      <c r="F42">
        <v>48</v>
      </c>
    </row>
    <row r="43" spans="1:6" x14ac:dyDescent="0.35">
      <c r="A43" s="1">
        <v>43433</v>
      </c>
      <c r="B43" t="s">
        <v>11</v>
      </c>
      <c r="C43" t="s">
        <v>12</v>
      </c>
      <c r="D43">
        <v>6955231</v>
      </c>
      <c r="E43" t="s">
        <v>8</v>
      </c>
      <c r="F43">
        <v>48</v>
      </c>
    </row>
    <row r="44" spans="1:6" x14ac:dyDescent="0.35">
      <c r="A44" s="1">
        <v>43433</v>
      </c>
      <c r="B44" t="s">
        <v>19</v>
      </c>
      <c r="C44" t="s">
        <v>20</v>
      </c>
      <c r="D44">
        <v>7220464</v>
      </c>
      <c r="E44" t="s">
        <v>8</v>
      </c>
      <c r="F44">
        <v>48</v>
      </c>
    </row>
    <row r="45" spans="1:6" x14ac:dyDescent="0.35">
      <c r="A45" s="1">
        <v>43433</v>
      </c>
      <c r="B45" t="s">
        <v>9</v>
      </c>
      <c r="C45" t="s">
        <v>10</v>
      </c>
      <c r="D45">
        <v>9198949</v>
      </c>
      <c r="E45" t="s">
        <v>8</v>
      </c>
      <c r="F45">
        <v>48</v>
      </c>
    </row>
    <row r="46" spans="1:6" x14ac:dyDescent="0.35">
      <c r="A46" s="1">
        <v>43433</v>
      </c>
      <c r="B46" t="s">
        <v>13</v>
      </c>
      <c r="C46" t="s">
        <v>14</v>
      </c>
      <c r="D46">
        <v>7409688</v>
      </c>
      <c r="E46" t="s">
        <v>8</v>
      </c>
      <c r="F46">
        <v>48</v>
      </c>
    </row>
    <row r="47" spans="1:6" x14ac:dyDescent="0.35">
      <c r="A47" s="1">
        <v>43433</v>
      </c>
      <c r="B47" t="s">
        <v>15</v>
      </c>
      <c r="C47" t="s">
        <v>16</v>
      </c>
      <c r="D47">
        <v>9078130</v>
      </c>
      <c r="E47" t="s">
        <v>8</v>
      </c>
      <c r="F47">
        <v>48</v>
      </c>
    </row>
    <row r="48" spans="1:6" x14ac:dyDescent="0.35">
      <c r="A48" s="1">
        <v>43440</v>
      </c>
      <c r="B48" t="s">
        <v>6</v>
      </c>
      <c r="C48" t="s">
        <v>7</v>
      </c>
      <c r="D48">
        <v>24036955</v>
      </c>
      <c r="E48" t="s">
        <v>8</v>
      </c>
      <c r="F48">
        <v>49</v>
      </c>
    </row>
    <row r="49" spans="1:6" x14ac:dyDescent="0.35">
      <c r="A49" s="1">
        <v>43440</v>
      </c>
      <c r="B49" t="s">
        <v>17</v>
      </c>
      <c r="C49" t="s">
        <v>18</v>
      </c>
      <c r="D49">
        <v>6412898</v>
      </c>
      <c r="E49" t="s">
        <v>8</v>
      </c>
      <c r="F49">
        <v>49</v>
      </c>
    </row>
    <row r="50" spans="1:6" x14ac:dyDescent="0.35">
      <c r="A50" s="1">
        <v>43440</v>
      </c>
      <c r="B50" t="s">
        <v>11</v>
      </c>
      <c r="C50" t="s">
        <v>12</v>
      </c>
      <c r="D50">
        <v>13014838</v>
      </c>
      <c r="E50" t="s">
        <v>8</v>
      </c>
      <c r="F50">
        <v>49</v>
      </c>
    </row>
    <row r="51" spans="1:6" x14ac:dyDescent="0.35">
      <c r="A51" s="1">
        <v>43440</v>
      </c>
      <c r="B51" t="s">
        <v>19</v>
      </c>
      <c r="C51" t="s">
        <v>20</v>
      </c>
      <c r="D51">
        <v>12304877</v>
      </c>
      <c r="E51" t="s">
        <v>8</v>
      </c>
      <c r="F51">
        <v>49</v>
      </c>
    </row>
    <row r="52" spans="1:6" x14ac:dyDescent="0.35">
      <c r="A52" s="1">
        <v>43440</v>
      </c>
      <c r="B52" t="s">
        <v>9</v>
      </c>
      <c r="C52" t="s">
        <v>10</v>
      </c>
      <c r="D52">
        <v>16058707</v>
      </c>
      <c r="E52" t="s">
        <v>8</v>
      </c>
      <c r="F52">
        <v>49</v>
      </c>
    </row>
    <row r="53" spans="1:6" x14ac:dyDescent="0.35">
      <c r="A53" s="1">
        <v>43440</v>
      </c>
      <c r="B53" t="s">
        <v>13</v>
      </c>
      <c r="C53" t="s">
        <v>14</v>
      </c>
      <c r="D53">
        <v>11609964</v>
      </c>
      <c r="E53" t="s">
        <v>8</v>
      </c>
      <c r="F53">
        <v>49</v>
      </c>
    </row>
    <row r="54" spans="1:6" x14ac:dyDescent="0.35">
      <c r="A54" s="1">
        <v>43440</v>
      </c>
      <c r="B54" t="s">
        <v>15</v>
      </c>
      <c r="C54" t="s">
        <v>16</v>
      </c>
      <c r="D54">
        <v>16471103</v>
      </c>
      <c r="E54" t="s">
        <v>8</v>
      </c>
      <c r="F54">
        <v>49</v>
      </c>
    </row>
    <row r="55" spans="1:6" x14ac:dyDescent="0.35">
      <c r="A55" s="1">
        <v>43447</v>
      </c>
      <c r="B55" t="s">
        <v>6</v>
      </c>
      <c r="C55" t="s">
        <v>7</v>
      </c>
      <c r="D55">
        <v>23468009</v>
      </c>
      <c r="E55" t="s">
        <v>8</v>
      </c>
      <c r="F55">
        <v>50</v>
      </c>
    </row>
    <row r="56" spans="1:6" x14ac:dyDescent="0.35">
      <c r="A56" s="1">
        <v>43447</v>
      </c>
      <c r="B56" t="s">
        <v>17</v>
      </c>
      <c r="C56" t="s">
        <v>18</v>
      </c>
      <c r="D56">
        <v>7233202</v>
      </c>
      <c r="E56" t="s">
        <v>8</v>
      </c>
      <c r="F56">
        <v>50</v>
      </c>
    </row>
    <row r="57" spans="1:6" x14ac:dyDescent="0.35">
      <c r="A57" s="1">
        <v>43447</v>
      </c>
      <c r="B57" t="s">
        <v>11</v>
      </c>
      <c r="C57" t="s">
        <v>12</v>
      </c>
      <c r="D57">
        <v>14210646</v>
      </c>
      <c r="E57" t="s">
        <v>8</v>
      </c>
      <c r="F57">
        <v>50</v>
      </c>
    </row>
    <row r="58" spans="1:6" x14ac:dyDescent="0.35">
      <c r="A58" s="1">
        <v>43447</v>
      </c>
      <c r="B58" t="s">
        <v>19</v>
      </c>
      <c r="C58" t="s">
        <v>20</v>
      </c>
      <c r="D58">
        <v>13163696</v>
      </c>
      <c r="E58" t="s">
        <v>8</v>
      </c>
      <c r="F58">
        <v>50</v>
      </c>
    </row>
    <row r="59" spans="1:6" x14ac:dyDescent="0.35">
      <c r="A59" s="1">
        <v>43447</v>
      </c>
      <c r="B59" t="s">
        <v>9</v>
      </c>
      <c r="C59" t="s">
        <v>10</v>
      </c>
      <c r="D59">
        <v>18720379</v>
      </c>
      <c r="E59" t="s">
        <v>8</v>
      </c>
      <c r="F59">
        <v>50</v>
      </c>
    </row>
    <row r="60" spans="1:6" x14ac:dyDescent="0.35">
      <c r="A60" s="1">
        <v>43447</v>
      </c>
      <c r="B60" t="s">
        <v>13</v>
      </c>
      <c r="C60" t="s">
        <v>14</v>
      </c>
      <c r="D60">
        <v>12622908</v>
      </c>
      <c r="E60" t="s">
        <v>8</v>
      </c>
      <c r="F60">
        <v>50</v>
      </c>
    </row>
    <row r="61" spans="1:6" x14ac:dyDescent="0.35">
      <c r="A61" s="1">
        <v>43447</v>
      </c>
      <c r="B61" t="s">
        <v>15</v>
      </c>
      <c r="C61" t="s">
        <v>16</v>
      </c>
      <c r="D61">
        <v>14934312</v>
      </c>
      <c r="E61" t="s">
        <v>8</v>
      </c>
      <c r="F61">
        <v>50</v>
      </c>
    </row>
    <row r="62" spans="1:6" x14ac:dyDescent="0.35">
      <c r="A62" s="1">
        <v>43454</v>
      </c>
      <c r="B62" t="s">
        <v>6</v>
      </c>
      <c r="C62" t="s">
        <v>7</v>
      </c>
      <c r="D62">
        <v>26819265</v>
      </c>
      <c r="E62" t="s">
        <v>8</v>
      </c>
      <c r="F62">
        <v>51</v>
      </c>
    </row>
    <row r="63" spans="1:6" x14ac:dyDescent="0.35">
      <c r="A63" s="1">
        <v>43454</v>
      </c>
      <c r="B63" t="s">
        <v>17</v>
      </c>
      <c r="C63" t="s">
        <v>18</v>
      </c>
      <c r="D63">
        <v>8326667</v>
      </c>
      <c r="E63" t="s">
        <v>8</v>
      </c>
      <c r="F63">
        <v>51</v>
      </c>
    </row>
    <row r="64" spans="1:6" x14ac:dyDescent="0.35">
      <c r="A64" s="1">
        <v>43454</v>
      </c>
      <c r="B64" t="s">
        <v>11</v>
      </c>
      <c r="C64" t="s">
        <v>12</v>
      </c>
      <c r="D64">
        <v>15912361</v>
      </c>
      <c r="E64" t="s">
        <v>8</v>
      </c>
      <c r="F64">
        <v>51</v>
      </c>
    </row>
    <row r="65" spans="1:6" x14ac:dyDescent="0.35">
      <c r="A65" s="1">
        <v>43454</v>
      </c>
      <c r="B65" t="s">
        <v>19</v>
      </c>
      <c r="C65" t="s">
        <v>20</v>
      </c>
      <c r="D65">
        <v>14601397</v>
      </c>
      <c r="E65" t="s">
        <v>8</v>
      </c>
      <c r="F65">
        <v>51</v>
      </c>
    </row>
    <row r="66" spans="1:6" x14ac:dyDescent="0.35">
      <c r="A66" s="1">
        <v>43454</v>
      </c>
      <c r="B66" t="s">
        <v>9</v>
      </c>
      <c r="C66" t="s">
        <v>10</v>
      </c>
      <c r="D66">
        <v>21408808</v>
      </c>
      <c r="E66" t="s">
        <v>8</v>
      </c>
      <c r="F66">
        <v>51</v>
      </c>
    </row>
    <row r="67" spans="1:6" x14ac:dyDescent="0.35">
      <c r="A67" s="1">
        <v>43454</v>
      </c>
      <c r="B67" t="s">
        <v>13</v>
      </c>
      <c r="C67" t="s">
        <v>14</v>
      </c>
      <c r="D67">
        <v>14462557</v>
      </c>
      <c r="E67" t="s">
        <v>8</v>
      </c>
      <c r="F67">
        <v>51</v>
      </c>
    </row>
    <row r="68" spans="1:6" x14ac:dyDescent="0.35">
      <c r="A68" s="1">
        <v>43454</v>
      </c>
      <c r="B68" t="s">
        <v>15</v>
      </c>
      <c r="C68" t="s">
        <v>16</v>
      </c>
      <c r="D68">
        <v>18210221</v>
      </c>
      <c r="E68" t="s">
        <v>8</v>
      </c>
      <c r="F68">
        <v>51</v>
      </c>
    </row>
    <row r="69" spans="1:6" x14ac:dyDescent="0.35">
      <c r="A69" s="1">
        <v>43461</v>
      </c>
      <c r="B69" t="s">
        <v>6</v>
      </c>
      <c r="C69" t="s">
        <v>7</v>
      </c>
      <c r="D69">
        <v>39567108</v>
      </c>
      <c r="E69" t="s">
        <v>8</v>
      </c>
      <c r="F69">
        <v>52</v>
      </c>
    </row>
    <row r="70" spans="1:6" x14ac:dyDescent="0.35">
      <c r="A70" s="1">
        <v>43461</v>
      </c>
      <c r="B70" t="s">
        <v>17</v>
      </c>
      <c r="C70" t="s">
        <v>18</v>
      </c>
      <c r="D70">
        <v>14719120</v>
      </c>
      <c r="E70" t="s">
        <v>8</v>
      </c>
      <c r="F70">
        <v>52</v>
      </c>
    </row>
    <row r="71" spans="1:6" x14ac:dyDescent="0.35">
      <c r="A71" s="1">
        <v>43461</v>
      </c>
      <c r="B71" t="s">
        <v>11</v>
      </c>
      <c r="C71" t="s">
        <v>12</v>
      </c>
      <c r="D71">
        <v>24492004</v>
      </c>
      <c r="E71" t="s">
        <v>8</v>
      </c>
      <c r="F71">
        <v>52</v>
      </c>
    </row>
    <row r="72" spans="1:6" x14ac:dyDescent="0.35">
      <c r="A72" s="1">
        <v>43461</v>
      </c>
      <c r="B72" t="s">
        <v>19</v>
      </c>
      <c r="C72" t="s">
        <v>20</v>
      </c>
      <c r="D72">
        <v>22414165</v>
      </c>
      <c r="E72" t="s">
        <v>8</v>
      </c>
      <c r="F72">
        <v>52</v>
      </c>
    </row>
    <row r="73" spans="1:6" x14ac:dyDescent="0.35">
      <c r="A73" s="1">
        <v>43461</v>
      </c>
      <c r="B73" t="s">
        <v>9</v>
      </c>
      <c r="C73" t="s">
        <v>10</v>
      </c>
      <c r="D73">
        <v>32326595</v>
      </c>
      <c r="E73" t="s">
        <v>8</v>
      </c>
      <c r="F73">
        <v>52</v>
      </c>
    </row>
    <row r="74" spans="1:6" x14ac:dyDescent="0.35">
      <c r="A74" s="1">
        <v>43461</v>
      </c>
      <c r="B74" t="s">
        <v>13</v>
      </c>
      <c r="C74" t="s">
        <v>14</v>
      </c>
      <c r="D74">
        <v>22360872</v>
      </c>
      <c r="E74" t="s">
        <v>8</v>
      </c>
      <c r="F74">
        <v>52</v>
      </c>
    </row>
    <row r="75" spans="1:6" x14ac:dyDescent="0.35">
      <c r="A75" s="1">
        <v>43461</v>
      </c>
      <c r="B75" t="s">
        <v>15</v>
      </c>
      <c r="C75" t="s">
        <v>16</v>
      </c>
      <c r="D75">
        <v>26841408</v>
      </c>
      <c r="E75" t="s">
        <v>8</v>
      </c>
      <c r="F75">
        <v>52</v>
      </c>
    </row>
    <row r="76" spans="1:6" x14ac:dyDescent="0.35">
      <c r="A76" s="1">
        <v>43776</v>
      </c>
      <c r="B76" t="s">
        <v>6</v>
      </c>
      <c r="C76" t="s">
        <v>7</v>
      </c>
      <c r="D76">
        <v>5005576</v>
      </c>
      <c r="E76" t="s">
        <v>8</v>
      </c>
      <c r="F76">
        <v>45</v>
      </c>
    </row>
    <row r="77" spans="1:6" x14ac:dyDescent="0.35">
      <c r="A77" s="1">
        <v>43783</v>
      </c>
      <c r="B77" t="s">
        <v>6</v>
      </c>
      <c r="C77" t="s">
        <v>7</v>
      </c>
      <c r="D77">
        <v>6570623</v>
      </c>
      <c r="E77" t="s">
        <v>8</v>
      </c>
      <c r="F77">
        <v>46</v>
      </c>
    </row>
    <row r="78" spans="1:6" x14ac:dyDescent="0.35">
      <c r="A78" s="1">
        <v>43783</v>
      </c>
      <c r="B78" t="s">
        <v>9</v>
      </c>
      <c r="C78" t="s">
        <v>10</v>
      </c>
      <c r="D78">
        <v>4795477</v>
      </c>
      <c r="E78" t="s">
        <v>8</v>
      </c>
      <c r="F78">
        <v>46</v>
      </c>
    </row>
    <row r="79" spans="1:6" x14ac:dyDescent="0.35">
      <c r="A79" s="1">
        <v>43790</v>
      </c>
      <c r="B79" t="s">
        <v>6</v>
      </c>
      <c r="C79" t="s">
        <v>7</v>
      </c>
      <c r="D79">
        <v>8344450</v>
      </c>
      <c r="E79" t="s">
        <v>8</v>
      </c>
      <c r="F79">
        <v>47</v>
      </c>
    </row>
    <row r="80" spans="1:6" x14ac:dyDescent="0.35">
      <c r="A80" s="1">
        <v>43790</v>
      </c>
      <c r="B80" t="s">
        <v>9</v>
      </c>
      <c r="C80" t="s">
        <v>10</v>
      </c>
      <c r="D80">
        <v>6166454</v>
      </c>
      <c r="E80" t="s">
        <v>8</v>
      </c>
      <c r="F80">
        <v>47</v>
      </c>
    </row>
    <row r="81" spans="1:6" x14ac:dyDescent="0.35">
      <c r="A81" s="1">
        <v>43790</v>
      </c>
      <c r="B81" t="s">
        <v>15</v>
      </c>
      <c r="C81" t="s">
        <v>16</v>
      </c>
      <c r="D81">
        <v>5121609</v>
      </c>
      <c r="E81" t="s">
        <v>8</v>
      </c>
      <c r="F81">
        <v>47</v>
      </c>
    </row>
    <row r="82" spans="1:6" x14ac:dyDescent="0.35">
      <c r="A82" s="1">
        <v>43797</v>
      </c>
      <c r="B82" t="s">
        <v>6</v>
      </c>
      <c r="C82" t="s">
        <v>7</v>
      </c>
      <c r="D82">
        <v>12612693</v>
      </c>
      <c r="E82" t="s">
        <v>8</v>
      </c>
      <c r="F82">
        <v>48</v>
      </c>
    </row>
    <row r="83" spans="1:6" x14ac:dyDescent="0.35">
      <c r="A83" s="1">
        <v>43797</v>
      </c>
      <c r="B83" t="s">
        <v>11</v>
      </c>
      <c r="C83" t="s">
        <v>12</v>
      </c>
      <c r="D83">
        <v>6183295</v>
      </c>
      <c r="E83" t="s">
        <v>8</v>
      </c>
      <c r="F83">
        <v>48</v>
      </c>
    </row>
    <row r="84" spans="1:6" x14ac:dyDescent="0.35">
      <c r="A84" s="1">
        <v>43797</v>
      </c>
      <c r="B84" t="s">
        <v>19</v>
      </c>
      <c r="C84" t="s">
        <v>20</v>
      </c>
      <c r="D84">
        <v>5558342</v>
      </c>
      <c r="E84" t="s">
        <v>8</v>
      </c>
      <c r="F84">
        <v>48</v>
      </c>
    </row>
    <row r="85" spans="1:6" x14ac:dyDescent="0.35">
      <c r="A85" s="1">
        <v>43797</v>
      </c>
      <c r="B85" t="s">
        <v>9</v>
      </c>
      <c r="C85" t="s">
        <v>10</v>
      </c>
      <c r="D85">
        <v>9167657</v>
      </c>
      <c r="E85" t="s">
        <v>8</v>
      </c>
      <c r="F85">
        <v>48</v>
      </c>
    </row>
    <row r="86" spans="1:6" x14ac:dyDescent="0.35">
      <c r="A86" s="1">
        <v>43797</v>
      </c>
      <c r="B86" t="s">
        <v>13</v>
      </c>
      <c r="C86" t="s">
        <v>14</v>
      </c>
      <c r="D86">
        <v>5588808</v>
      </c>
      <c r="E86" t="s">
        <v>8</v>
      </c>
      <c r="F86">
        <v>48</v>
      </c>
    </row>
    <row r="87" spans="1:6" x14ac:dyDescent="0.35">
      <c r="A87" s="1">
        <v>43797</v>
      </c>
      <c r="B87" t="s">
        <v>15</v>
      </c>
      <c r="C87" t="s">
        <v>16</v>
      </c>
      <c r="D87">
        <v>7367685</v>
      </c>
      <c r="E87" t="s">
        <v>8</v>
      </c>
      <c r="F87">
        <v>48</v>
      </c>
    </row>
    <row r="88" spans="1:6" x14ac:dyDescent="0.35">
      <c r="A88" s="1">
        <v>43804</v>
      </c>
      <c r="B88" t="s">
        <v>6</v>
      </c>
      <c r="C88" t="s">
        <v>7</v>
      </c>
      <c r="D88">
        <v>22394175</v>
      </c>
      <c r="E88" t="s">
        <v>8</v>
      </c>
      <c r="F88">
        <v>49</v>
      </c>
    </row>
    <row r="89" spans="1:6" x14ac:dyDescent="0.35">
      <c r="A89" s="1">
        <v>43804</v>
      </c>
      <c r="B89" t="s">
        <v>17</v>
      </c>
      <c r="C89" t="s">
        <v>18</v>
      </c>
      <c r="D89">
        <v>7517050</v>
      </c>
      <c r="E89" t="s">
        <v>8</v>
      </c>
      <c r="F89">
        <v>49</v>
      </c>
    </row>
    <row r="90" spans="1:6" x14ac:dyDescent="0.35">
      <c r="A90" s="1">
        <v>43804</v>
      </c>
      <c r="B90" t="s">
        <v>11</v>
      </c>
      <c r="C90" t="s">
        <v>12</v>
      </c>
      <c r="D90">
        <v>12258394</v>
      </c>
      <c r="E90" t="s">
        <v>8</v>
      </c>
      <c r="F90">
        <v>49</v>
      </c>
    </row>
    <row r="91" spans="1:6" x14ac:dyDescent="0.35">
      <c r="A91" s="1">
        <v>43804</v>
      </c>
      <c r="B91" t="s">
        <v>19</v>
      </c>
      <c r="C91" t="s">
        <v>20</v>
      </c>
      <c r="D91">
        <v>10901943</v>
      </c>
      <c r="E91" t="s">
        <v>8</v>
      </c>
      <c r="F91">
        <v>49</v>
      </c>
    </row>
    <row r="92" spans="1:6" x14ac:dyDescent="0.35">
      <c r="A92" s="1">
        <v>43804</v>
      </c>
      <c r="B92" t="s">
        <v>9</v>
      </c>
      <c r="C92" t="s">
        <v>10</v>
      </c>
      <c r="D92">
        <v>17615075</v>
      </c>
      <c r="E92" t="s">
        <v>8</v>
      </c>
      <c r="F92">
        <v>49</v>
      </c>
    </row>
    <row r="93" spans="1:6" x14ac:dyDescent="0.35">
      <c r="A93" s="1">
        <v>43804</v>
      </c>
      <c r="B93" t="s">
        <v>13</v>
      </c>
      <c r="C93" t="s">
        <v>14</v>
      </c>
      <c r="D93">
        <v>11155568</v>
      </c>
      <c r="E93" t="s">
        <v>8</v>
      </c>
      <c r="F93">
        <v>49</v>
      </c>
    </row>
    <row r="94" spans="1:6" x14ac:dyDescent="0.35">
      <c r="A94" s="1">
        <v>43804</v>
      </c>
      <c r="B94" t="s">
        <v>15</v>
      </c>
      <c r="C94" t="s">
        <v>16</v>
      </c>
      <c r="D94">
        <v>14107437</v>
      </c>
      <c r="E94" t="s">
        <v>8</v>
      </c>
      <c r="F94">
        <v>49</v>
      </c>
    </row>
    <row r="95" spans="1:6" x14ac:dyDescent="0.35">
      <c r="A95" s="1">
        <v>43811</v>
      </c>
      <c r="B95" t="s">
        <v>6</v>
      </c>
      <c r="C95" t="s">
        <v>7</v>
      </c>
      <c r="D95">
        <v>24024043</v>
      </c>
      <c r="E95" t="s">
        <v>8</v>
      </c>
      <c r="F95">
        <v>50</v>
      </c>
    </row>
    <row r="96" spans="1:6" x14ac:dyDescent="0.35">
      <c r="A96" s="1">
        <v>43811</v>
      </c>
      <c r="B96" t="s">
        <v>17</v>
      </c>
      <c r="C96" t="s">
        <v>18</v>
      </c>
      <c r="D96">
        <v>8691550</v>
      </c>
      <c r="E96" t="s">
        <v>8</v>
      </c>
      <c r="F96">
        <v>50</v>
      </c>
    </row>
    <row r="97" spans="1:6" x14ac:dyDescent="0.35">
      <c r="A97" s="1">
        <v>43811</v>
      </c>
      <c r="B97" t="s">
        <v>11</v>
      </c>
      <c r="C97" t="s">
        <v>12</v>
      </c>
      <c r="D97">
        <v>13521227</v>
      </c>
      <c r="E97" t="s">
        <v>8</v>
      </c>
      <c r="F97">
        <v>50</v>
      </c>
    </row>
    <row r="98" spans="1:6" x14ac:dyDescent="0.35">
      <c r="A98" s="1">
        <v>43811</v>
      </c>
      <c r="B98" t="s">
        <v>19</v>
      </c>
      <c r="C98" t="s">
        <v>20</v>
      </c>
      <c r="D98">
        <v>12457545</v>
      </c>
      <c r="E98" t="s">
        <v>8</v>
      </c>
      <c r="F98">
        <v>50</v>
      </c>
    </row>
    <row r="99" spans="1:6" x14ac:dyDescent="0.35">
      <c r="A99" s="1">
        <v>43811</v>
      </c>
      <c r="B99" t="s">
        <v>9</v>
      </c>
      <c r="C99" t="s">
        <v>10</v>
      </c>
      <c r="D99">
        <v>19402441</v>
      </c>
      <c r="E99" t="s">
        <v>8</v>
      </c>
      <c r="F99">
        <v>50</v>
      </c>
    </row>
    <row r="100" spans="1:6" x14ac:dyDescent="0.35">
      <c r="A100" s="1">
        <v>43811</v>
      </c>
      <c r="B100" t="s">
        <v>13</v>
      </c>
      <c r="C100" t="s">
        <v>14</v>
      </c>
      <c r="D100">
        <v>12756056</v>
      </c>
      <c r="E100" t="s">
        <v>8</v>
      </c>
      <c r="F100">
        <v>50</v>
      </c>
    </row>
    <row r="101" spans="1:6" x14ac:dyDescent="0.35">
      <c r="A101" s="1">
        <v>43811</v>
      </c>
      <c r="B101" t="s">
        <v>15</v>
      </c>
      <c r="C101" t="s">
        <v>16</v>
      </c>
      <c r="D101">
        <v>15382577</v>
      </c>
      <c r="E101" t="s">
        <v>8</v>
      </c>
      <c r="F101">
        <v>50</v>
      </c>
    </row>
    <row r="102" spans="1:6" x14ac:dyDescent="0.35">
      <c r="A102" s="1">
        <v>43818</v>
      </c>
      <c r="B102" t="s">
        <v>6</v>
      </c>
      <c r="C102" t="s">
        <v>7</v>
      </c>
      <c r="D102">
        <v>27155209</v>
      </c>
      <c r="E102" t="s">
        <v>8</v>
      </c>
      <c r="F102">
        <v>51</v>
      </c>
    </row>
    <row r="103" spans="1:6" x14ac:dyDescent="0.35">
      <c r="A103" s="1">
        <v>43818</v>
      </c>
      <c r="B103" t="s">
        <v>17</v>
      </c>
      <c r="C103" t="s">
        <v>18</v>
      </c>
      <c r="D103">
        <v>10286298</v>
      </c>
      <c r="E103" t="s">
        <v>8</v>
      </c>
      <c r="F103">
        <v>51</v>
      </c>
    </row>
    <row r="104" spans="1:6" x14ac:dyDescent="0.35">
      <c r="A104" s="1">
        <v>43818</v>
      </c>
      <c r="B104" t="s">
        <v>11</v>
      </c>
      <c r="C104" t="s">
        <v>12</v>
      </c>
      <c r="D104">
        <v>14847978</v>
      </c>
      <c r="E104" t="s">
        <v>8</v>
      </c>
      <c r="F104">
        <v>51</v>
      </c>
    </row>
    <row r="105" spans="1:6" x14ac:dyDescent="0.35">
      <c r="A105" s="1">
        <v>43818</v>
      </c>
      <c r="B105" t="s">
        <v>19</v>
      </c>
      <c r="C105" t="s">
        <v>20</v>
      </c>
      <c r="D105">
        <v>14040340</v>
      </c>
      <c r="E105" t="s">
        <v>8</v>
      </c>
      <c r="F105">
        <v>51</v>
      </c>
    </row>
    <row r="106" spans="1:6" x14ac:dyDescent="0.35">
      <c r="A106" s="1">
        <v>43818</v>
      </c>
      <c r="B106" t="s">
        <v>9</v>
      </c>
      <c r="C106" t="s">
        <v>10</v>
      </c>
      <c r="D106">
        <v>21975011</v>
      </c>
      <c r="E106" t="s">
        <v>8</v>
      </c>
      <c r="F106">
        <v>51</v>
      </c>
    </row>
    <row r="107" spans="1:6" x14ac:dyDescent="0.35">
      <c r="A107" s="1">
        <v>43818</v>
      </c>
      <c r="B107" t="s">
        <v>13</v>
      </c>
      <c r="C107" t="s">
        <v>14</v>
      </c>
      <c r="D107">
        <v>14078309</v>
      </c>
      <c r="E107" t="s">
        <v>8</v>
      </c>
      <c r="F107">
        <v>51</v>
      </c>
    </row>
    <row r="108" spans="1:6" x14ac:dyDescent="0.35">
      <c r="A108" s="1">
        <v>43818</v>
      </c>
      <c r="B108" t="s">
        <v>15</v>
      </c>
      <c r="C108" t="s">
        <v>16</v>
      </c>
      <c r="D108">
        <v>17011748</v>
      </c>
      <c r="E108" t="s">
        <v>8</v>
      </c>
      <c r="F108">
        <v>51</v>
      </c>
    </row>
    <row r="109" spans="1:6" x14ac:dyDescent="0.35">
      <c r="A109" s="1">
        <v>43825</v>
      </c>
      <c r="B109" t="s">
        <v>6</v>
      </c>
      <c r="C109" t="s">
        <v>7</v>
      </c>
      <c r="D109">
        <v>45828931</v>
      </c>
      <c r="E109" t="s">
        <v>8</v>
      </c>
      <c r="F109">
        <v>52</v>
      </c>
    </row>
    <row r="110" spans="1:6" x14ac:dyDescent="0.35">
      <c r="A110" s="1">
        <v>43825</v>
      </c>
      <c r="B110" t="s">
        <v>17</v>
      </c>
      <c r="C110" t="s">
        <v>18</v>
      </c>
      <c r="D110">
        <v>20300178</v>
      </c>
      <c r="E110" t="s">
        <v>8</v>
      </c>
      <c r="F110">
        <v>52</v>
      </c>
    </row>
    <row r="111" spans="1:6" x14ac:dyDescent="0.35">
      <c r="A111" s="1">
        <v>43825</v>
      </c>
      <c r="B111" t="s">
        <v>11</v>
      </c>
      <c r="C111" t="s">
        <v>12</v>
      </c>
      <c r="D111">
        <v>25997383</v>
      </c>
      <c r="E111" t="s">
        <v>8</v>
      </c>
      <c r="F111">
        <v>52</v>
      </c>
    </row>
    <row r="112" spans="1:6" x14ac:dyDescent="0.35">
      <c r="A112" s="1">
        <v>43825</v>
      </c>
      <c r="B112" t="s">
        <v>19</v>
      </c>
      <c r="C112" t="s">
        <v>20</v>
      </c>
      <c r="D112">
        <v>24951120</v>
      </c>
      <c r="E112" t="s">
        <v>8</v>
      </c>
      <c r="F112">
        <v>52</v>
      </c>
    </row>
    <row r="113" spans="1:6" x14ac:dyDescent="0.35">
      <c r="A113" s="1">
        <v>43825</v>
      </c>
      <c r="B113" t="s">
        <v>9</v>
      </c>
      <c r="C113" t="s">
        <v>10</v>
      </c>
      <c r="D113">
        <v>37725693</v>
      </c>
      <c r="E113" t="s">
        <v>8</v>
      </c>
      <c r="F113">
        <v>52</v>
      </c>
    </row>
    <row r="114" spans="1:6" x14ac:dyDescent="0.35">
      <c r="A114" s="1">
        <v>43825</v>
      </c>
      <c r="B114" t="s">
        <v>13</v>
      </c>
      <c r="C114" t="s">
        <v>14</v>
      </c>
      <c r="D114">
        <v>24401078</v>
      </c>
      <c r="E114" t="s">
        <v>8</v>
      </c>
      <c r="F114">
        <v>52</v>
      </c>
    </row>
    <row r="115" spans="1:6" x14ac:dyDescent="0.35">
      <c r="A115" s="1">
        <v>43825</v>
      </c>
      <c r="B115" t="s">
        <v>15</v>
      </c>
      <c r="C115" t="s">
        <v>16</v>
      </c>
      <c r="D115">
        <v>27506141</v>
      </c>
      <c r="E115" t="s">
        <v>8</v>
      </c>
      <c r="F115">
        <v>52</v>
      </c>
    </row>
    <row r="116" spans="1:6" x14ac:dyDescent="0.35">
      <c r="A116" s="1">
        <v>43832</v>
      </c>
      <c r="B116" t="s">
        <v>6</v>
      </c>
      <c r="C116" t="s">
        <v>7</v>
      </c>
      <c r="D116">
        <v>5241737</v>
      </c>
      <c r="E116" t="s">
        <v>8</v>
      </c>
      <c r="F116">
        <v>1</v>
      </c>
    </row>
    <row r="117" spans="1:6" x14ac:dyDescent="0.35">
      <c r="A117" s="1">
        <v>44140</v>
      </c>
      <c r="B117" t="s">
        <v>6</v>
      </c>
      <c r="C117" t="s">
        <v>7</v>
      </c>
      <c r="D117">
        <v>5008815</v>
      </c>
      <c r="E117" t="s">
        <v>8</v>
      </c>
      <c r="F117">
        <v>45</v>
      </c>
    </row>
    <row r="118" spans="1:6" x14ac:dyDescent="0.35">
      <c r="A118" s="1">
        <v>44147</v>
      </c>
      <c r="B118" t="s">
        <v>6</v>
      </c>
      <c r="C118" t="s">
        <v>7</v>
      </c>
      <c r="D118">
        <v>7130162</v>
      </c>
      <c r="E118" t="s">
        <v>8</v>
      </c>
      <c r="F118">
        <v>46</v>
      </c>
    </row>
    <row r="119" spans="1:6" x14ac:dyDescent="0.35">
      <c r="A119" s="1">
        <v>44147</v>
      </c>
      <c r="B119" t="s">
        <v>9</v>
      </c>
      <c r="C119" t="s">
        <v>10</v>
      </c>
      <c r="D119">
        <v>5385394</v>
      </c>
      <c r="E119" t="s">
        <v>8</v>
      </c>
      <c r="F119">
        <v>46</v>
      </c>
    </row>
    <row r="120" spans="1:6" x14ac:dyDescent="0.35">
      <c r="A120" s="1">
        <v>44154</v>
      </c>
      <c r="B120" t="s">
        <v>6</v>
      </c>
      <c r="C120" t="s">
        <v>7</v>
      </c>
      <c r="D120">
        <v>10710928</v>
      </c>
      <c r="E120" t="s">
        <v>8</v>
      </c>
      <c r="F120">
        <v>47</v>
      </c>
    </row>
    <row r="121" spans="1:6" x14ac:dyDescent="0.35">
      <c r="A121" s="1">
        <v>44154</v>
      </c>
      <c r="B121" t="s">
        <v>11</v>
      </c>
      <c r="C121" t="s">
        <v>12</v>
      </c>
      <c r="D121">
        <v>6347297</v>
      </c>
      <c r="E121" t="s">
        <v>8</v>
      </c>
      <c r="F121">
        <v>47</v>
      </c>
    </row>
    <row r="122" spans="1:6" x14ac:dyDescent="0.35">
      <c r="A122" s="1">
        <v>44154</v>
      </c>
      <c r="B122" t="s">
        <v>19</v>
      </c>
      <c r="C122" t="s">
        <v>20</v>
      </c>
      <c r="D122">
        <v>6085366</v>
      </c>
      <c r="E122" t="s">
        <v>8</v>
      </c>
      <c r="F122">
        <v>47</v>
      </c>
    </row>
    <row r="123" spans="1:6" x14ac:dyDescent="0.35">
      <c r="A123" s="1">
        <v>44154</v>
      </c>
      <c r="B123" t="s">
        <v>9</v>
      </c>
      <c r="C123" t="s">
        <v>10</v>
      </c>
      <c r="D123">
        <v>8260126</v>
      </c>
      <c r="E123" t="s">
        <v>8</v>
      </c>
      <c r="F123">
        <v>47</v>
      </c>
    </row>
    <row r="124" spans="1:6" x14ac:dyDescent="0.35">
      <c r="A124" s="1">
        <v>44154</v>
      </c>
      <c r="B124" t="s">
        <v>13</v>
      </c>
      <c r="C124" t="s">
        <v>14</v>
      </c>
      <c r="D124">
        <v>6245707</v>
      </c>
      <c r="E124" t="s">
        <v>8</v>
      </c>
      <c r="F124">
        <v>47</v>
      </c>
    </row>
    <row r="125" spans="1:6" x14ac:dyDescent="0.35">
      <c r="A125" s="1">
        <v>44154</v>
      </c>
      <c r="B125" t="s">
        <v>15</v>
      </c>
      <c r="C125" t="s">
        <v>16</v>
      </c>
      <c r="D125">
        <v>7008578</v>
      </c>
      <c r="E125" t="s">
        <v>8</v>
      </c>
      <c r="F125">
        <v>47</v>
      </c>
    </row>
    <row r="126" spans="1:6" x14ac:dyDescent="0.35">
      <c r="A126" s="1">
        <v>44161</v>
      </c>
      <c r="B126" t="s">
        <v>6</v>
      </c>
      <c r="C126" t="s">
        <v>7</v>
      </c>
      <c r="D126">
        <v>17049383</v>
      </c>
      <c r="E126" t="s">
        <v>8</v>
      </c>
      <c r="F126">
        <v>48</v>
      </c>
    </row>
    <row r="127" spans="1:6" x14ac:dyDescent="0.35">
      <c r="A127" s="1">
        <v>44161</v>
      </c>
      <c r="B127" t="s">
        <v>17</v>
      </c>
      <c r="C127" t="s">
        <v>18</v>
      </c>
      <c r="D127">
        <v>5829640</v>
      </c>
      <c r="E127" t="s">
        <v>8</v>
      </c>
      <c r="F127">
        <v>48</v>
      </c>
    </row>
    <row r="128" spans="1:6" x14ac:dyDescent="0.35">
      <c r="A128" s="1">
        <v>44161</v>
      </c>
      <c r="B128" t="s">
        <v>11</v>
      </c>
      <c r="C128" t="s">
        <v>12</v>
      </c>
      <c r="D128">
        <v>10582983</v>
      </c>
      <c r="E128" t="s">
        <v>8</v>
      </c>
      <c r="F128">
        <v>48</v>
      </c>
    </row>
    <row r="129" spans="1:6" x14ac:dyDescent="0.35">
      <c r="A129" s="1">
        <v>44161</v>
      </c>
      <c r="B129" t="s">
        <v>19</v>
      </c>
      <c r="C129" t="s">
        <v>20</v>
      </c>
      <c r="D129">
        <v>9678255</v>
      </c>
      <c r="E129" t="s">
        <v>8</v>
      </c>
      <c r="F129">
        <v>48</v>
      </c>
    </row>
    <row r="130" spans="1:6" x14ac:dyDescent="0.35">
      <c r="A130" s="1">
        <v>44161</v>
      </c>
      <c r="B130" t="s">
        <v>9</v>
      </c>
      <c r="C130" t="s">
        <v>10</v>
      </c>
      <c r="D130">
        <v>13660931</v>
      </c>
      <c r="E130" t="s">
        <v>8</v>
      </c>
      <c r="F130">
        <v>48</v>
      </c>
    </row>
    <row r="131" spans="1:6" x14ac:dyDescent="0.35">
      <c r="A131" s="1">
        <v>44161</v>
      </c>
      <c r="B131" t="s">
        <v>13</v>
      </c>
      <c r="C131" t="s">
        <v>14</v>
      </c>
      <c r="D131">
        <v>9913441</v>
      </c>
      <c r="E131" t="s">
        <v>8</v>
      </c>
      <c r="F131">
        <v>48</v>
      </c>
    </row>
    <row r="132" spans="1:6" x14ac:dyDescent="0.35">
      <c r="A132" s="1">
        <v>44161</v>
      </c>
      <c r="B132" t="s">
        <v>15</v>
      </c>
      <c r="C132" t="s">
        <v>16</v>
      </c>
      <c r="D132">
        <v>11284097</v>
      </c>
      <c r="E132" t="s">
        <v>8</v>
      </c>
      <c r="F132">
        <v>48</v>
      </c>
    </row>
    <row r="133" spans="1:6" x14ac:dyDescent="0.35">
      <c r="A133" s="1">
        <v>44168</v>
      </c>
      <c r="B133" t="s">
        <v>6</v>
      </c>
      <c r="C133" t="s">
        <v>7</v>
      </c>
      <c r="D133">
        <v>28851001</v>
      </c>
      <c r="E133" t="s">
        <v>8</v>
      </c>
      <c r="F133">
        <v>49</v>
      </c>
    </row>
    <row r="134" spans="1:6" x14ac:dyDescent="0.35">
      <c r="A134" s="1">
        <v>44168</v>
      </c>
      <c r="B134" t="s">
        <v>17</v>
      </c>
      <c r="C134" t="s">
        <v>18</v>
      </c>
      <c r="D134">
        <v>11016398</v>
      </c>
      <c r="E134" t="s">
        <v>8</v>
      </c>
      <c r="F134">
        <v>49</v>
      </c>
    </row>
    <row r="135" spans="1:6" x14ac:dyDescent="0.35">
      <c r="A135" s="1">
        <v>44168</v>
      </c>
      <c r="B135" t="s">
        <v>11</v>
      </c>
      <c r="C135" t="s">
        <v>12</v>
      </c>
      <c r="D135">
        <v>19245044</v>
      </c>
      <c r="E135" t="s">
        <v>8</v>
      </c>
      <c r="F135">
        <v>49</v>
      </c>
    </row>
    <row r="136" spans="1:6" x14ac:dyDescent="0.35">
      <c r="A136" s="1">
        <v>44168</v>
      </c>
      <c r="B136" t="s">
        <v>19</v>
      </c>
      <c r="C136" t="s">
        <v>20</v>
      </c>
      <c r="D136">
        <v>17455348</v>
      </c>
      <c r="E136" t="s">
        <v>8</v>
      </c>
      <c r="F136">
        <v>49</v>
      </c>
    </row>
    <row r="137" spans="1:6" x14ac:dyDescent="0.35">
      <c r="A137" s="1">
        <v>44168</v>
      </c>
      <c r="B137" t="s">
        <v>9</v>
      </c>
      <c r="C137" t="s">
        <v>10</v>
      </c>
      <c r="D137">
        <v>24561977</v>
      </c>
      <c r="E137" t="s">
        <v>8</v>
      </c>
      <c r="F137">
        <v>49</v>
      </c>
    </row>
    <row r="138" spans="1:6" x14ac:dyDescent="0.35">
      <c r="A138" s="1">
        <v>44168</v>
      </c>
      <c r="B138" t="s">
        <v>13</v>
      </c>
      <c r="C138" t="s">
        <v>14</v>
      </c>
      <c r="D138">
        <v>17910786</v>
      </c>
      <c r="E138" t="s">
        <v>8</v>
      </c>
      <c r="F138">
        <v>49</v>
      </c>
    </row>
    <row r="139" spans="1:6" x14ac:dyDescent="0.35">
      <c r="A139" s="1">
        <v>44168</v>
      </c>
      <c r="B139" t="s">
        <v>15</v>
      </c>
      <c r="C139" t="s">
        <v>16</v>
      </c>
      <c r="D139">
        <v>20098148</v>
      </c>
      <c r="E139" t="s">
        <v>8</v>
      </c>
      <c r="F139">
        <v>49</v>
      </c>
    </row>
    <row r="140" spans="1:6" x14ac:dyDescent="0.35">
      <c r="A140" s="1">
        <v>44175</v>
      </c>
      <c r="B140" t="s">
        <v>6</v>
      </c>
      <c r="C140" t="s">
        <v>7</v>
      </c>
      <c r="D140">
        <v>33463486</v>
      </c>
      <c r="E140" t="s">
        <v>8</v>
      </c>
      <c r="F140">
        <v>50</v>
      </c>
    </row>
    <row r="141" spans="1:6" x14ac:dyDescent="0.35">
      <c r="A141" s="1">
        <v>44175</v>
      </c>
      <c r="B141" t="s">
        <v>17</v>
      </c>
      <c r="C141" t="s">
        <v>18</v>
      </c>
      <c r="D141">
        <v>13437547</v>
      </c>
      <c r="E141" t="s">
        <v>8</v>
      </c>
      <c r="F141">
        <v>50</v>
      </c>
    </row>
    <row r="142" spans="1:6" x14ac:dyDescent="0.35">
      <c r="A142" s="1">
        <v>44175</v>
      </c>
      <c r="B142" t="s">
        <v>11</v>
      </c>
      <c r="C142" t="s">
        <v>12</v>
      </c>
      <c r="D142">
        <v>22257026</v>
      </c>
      <c r="E142" t="s">
        <v>8</v>
      </c>
      <c r="F142">
        <v>50</v>
      </c>
    </row>
    <row r="143" spans="1:6" x14ac:dyDescent="0.35">
      <c r="A143" s="1">
        <v>44175</v>
      </c>
      <c r="B143" t="s">
        <v>19</v>
      </c>
      <c r="C143" t="s">
        <v>20</v>
      </c>
      <c r="D143">
        <v>20577119</v>
      </c>
      <c r="E143" t="s">
        <v>8</v>
      </c>
      <c r="F143">
        <v>50</v>
      </c>
    </row>
    <row r="144" spans="1:6" x14ac:dyDescent="0.35">
      <c r="A144" s="1">
        <v>44175</v>
      </c>
      <c r="B144" t="s">
        <v>9</v>
      </c>
      <c r="C144" t="s">
        <v>10</v>
      </c>
      <c r="D144">
        <v>28540616</v>
      </c>
      <c r="E144" t="s">
        <v>8</v>
      </c>
      <c r="F144">
        <v>50</v>
      </c>
    </row>
    <row r="145" spans="1:6" x14ac:dyDescent="0.35">
      <c r="A145" s="1">
        <v>44175</v>
      </c>
      <c r="B145" t="s">
        <v>13</v>
      </c>
      <c r="C145" t="s">
        <v>14</v>
      </c>
      <c r="D145">
        <v>21702857</v>
      </c>
      <c r="E145" t="s">
        <v>8</v>
      </c>
      <c r="F145">
        <v>50</v>
      </c>
    </row>
    <row r="146" spans="1:6" x14ac:dyDescent="0.35">
      <c r="A146" s="1">
        <v>44175</v>
      </c>
      <c r="B146" t="s">
        <v>15</v>
      </c>
      <c r="C146" t="s">
        <v>16</v>
      </c>
      <c r="D146">
        <v>23873167</v>
      </c>
      <c r="E146" t="s">
        <v>8</v>
      </c>
      <c r="F146">
        <v>50</v>
      </c>
    </row>
    <row r="147" spans="1:6" x14ac:dyDescent="0.35">
      <c r="A147" s="1">
        <v>44182</v>
      </c>
      <c r="B147" t="s">
        <v>6</v>
      </c>
      <c r="C147" t="s">
        <v>7</v>
      </c>
      <c r="D147">
        <v>32556355</v>
      </c>
      <c r="E147" t="s">
        <v>8</v>
      </c>
      <c r="F147">
        <v>51</v>
      </c>
    </row>
    <row r="148" spans="1:6" x14ac:dyDescent="0.35">
      <c r="A148" s="1">
        <v>44182</v>
      </c>
      <c r="B148" t="s">
        <v>17</v>
      </c>
      <c r="C148" t="s">
        <v>18</v>
      </c>
      <c r="D148">
        <v>14043735</v>
      </c>
      <c r="E148" t="s">
        <v>8</v>
      </c>
      <c r="F148">
        <v>51</v>
      </c>
    </row>
    <row r="149" spans="1:6" x14ac:dyDescent="0.35">
      <c r="A149" s="1">
        <v>44182</v>
      </c>
      <c r="B149" t="s">
        <v>11</v>
      </c>
      <c r="C149" t="s">
        <v>12</v>
      </c>
      <c r="D149">
        <v>21728075</v>
      </c>
      <c r="E149" t="s">
        <v>8</v>
      </c>
      <c r="F149">
        <v>51</v>
      </c>
    </row>
    <row r="150" spans="1:6" x14ac:dyDescent="0.35">
      <c r="A150" s="1">
        <v>44182</v>
      </c>
      <c r="B150" t="s">
        <v>19</v>
      </c>
      <c r="C150" t="s">
        <v>20</v>
      </c>
      <c r="D150">
        <v>21034789</v>
      </c>
      <c r="E150" t="s">
        <v>8</v>
      </c>
      <c r="F150">
        <v>51</v>
      </c>
    </row>
    <row r="151" spans="1:6" x14ac:dyDescent="0.35">
      <c r="A151" s="1">
        <v>44182</v>
      </c>
      <c r="B151" t="s">
        <v>9</v>
      </c>
      <c r="C151" t="s">
        <v>10</v>
      </c>
      <c r="D151">
        <v>28682836</v>
      </c>
      <c r="E151" t="s">
        <v>8</v>
      </c>
      <c r="F151">
        <v>51</v>
      </c>
    </row>
    <row r="152" spans="1:6" x14ac:dyDescent="0.35">
      <c r="A152" s="1">
        <v>44182</v>
      </c>
      <c r="B152" t="s">
        <v>13</v>
      </c>
      <c r="C152" t="s">
        <v>14</v>
      </c>
      <c r="D152">
        <v>22518877</v>
      </c>
      <c r="E152" t="s">
        <v>8</v>
      </c>
      <c r="F152">
        <v>51</v>
      </c>
    </row>
    <row r="153" spans="1:6" x14ac:dyDescent="0.35">
      <c r="A153" s="1">
        <v>44182</v>
      </c>
      <c r="B153" t="s">
        <v>15</v>
      </c>
      <c r="C153" t="s">
        <v>16</v>
      </c>
      <c r="D153">
        <v>23649501</v>
      </c>
      <c r="E153" t="s">
        <v>8</v>
      </c>
      <c r="F153">
        <v>51</v>
      </c>
    </row>
    <row r="154" spans="1:6" x14ac:dyDescent="0.35">
      <c r="A154" s="1">
        <v>44189</v>
      </c>
      <c r="B154" t="s">
        <v>6</v>
      </c>
      <c r="C154" t="s">
        <v>7</v>
      </c>
      <c r="D154">
        <v>53401383</v>
      </c>
      <c r="E154" t="s">
        <v>8</v>
      </c>
      <c r="F154">
        <v>52</v>
      </c>
    </row>
    <row r="155" spans="1:6" x14ac:dyDescent="0.35">
      <c r="A155" s="1">
        <v>44189</v>
      </c>
      <c r="B155" t="s">
        <v>17</v>
      </c>
      <c r="C155" t="s">
        <v>18</v>
      </c>
      <c r="D155">
        <v>24517609</v>
      </c>
      <c r="E155" t="s">
        <v>8</v>
      </c>
      <c r="F155">
        <v>52</v>
      </c>
    </row>
    <row r="156" spans="1:6" x14ac:dyDescent="0.35">
      <c r="A156" s="1">
        <v>44189</v>
      </c>
      <c r="B156" t="s">
        <v>11</v>
      </c>
      <c r="C156" t="s">
        <v>12</v>
      </c>
      <c r="D156">
        <v>36227377</v>
      </c>
      <c r="E156" t="s">
        <v>8</v>
      </c>
      <c r="F156">
        <v>52</v>
      </c>
    </row>
    <row r="157" spans="1:6" x14ac:dyDescent="0.35">
      <c r="A157" s="1">
        <v>44189</v>
      </c>
      <c r="B157" t="s">
        <v>19</v>
      </c>
      <c r="C157" t="s">
        <v>20</v>
      </c>
      <c r="D157">
        <v>36117097</v>
      </c>
      <c r="E157" t="s">
        <v>8</v>
      </c>
      <c r="F157">
        <v>52</v>
      </c>
    </row>
    <row r="158" spans="1:6" x14ac:dyDescent="0.35">
      <c r="A158" s="1">
        <v>44189</v>
      </c>
      <c r="B158" t="s">
        <v>9</v>
      </c>
      <c r="C158" t="s">
        <v>10</v>
      </c>
      <c r="D158">
        <v>48011162</v>
      </c>
      <c r="E158" t="s">
        <v>8</v>
      </c>
      <c r="F158">
        <v>52</v>
      </c>
    </row>
    <row r="159" spans="1:6" x14ac:dyDescent="0.35">
      <c r="A159" s="1">
        <v>44189</v>
      </c>
      <c r="B159" t="s">
        <v>13</v>
      </c>
      <c r="C159" t="s">
        <v>14</v>
      </c>
      <c r="D159">
        <v>37323134</v>
      </c>
      <c r="E159" t="s">
        <v>8</v>
      </c>
      <c r="F159">
        <v>52</v>
      </c>
    </row>
    <row r="160" spans="1:6" x14ac:dyDescent="0.35">
      <c r="A160" s="1">
        <v>44189</v>
      </c>
      <c r="B160" t="s">
        <v>15</v>
      </c>
      <c r="C160" t="s">
        <v>16</v>
      </c>
      <c r="D160">
        <v>38503261</v>
      </c>
      <c r="E160" t="s">
        <v>8</v>
      </c>
      <c r="F160">
        <v>52</v>
      </c>
    </row>
    <row r="161" spans="1:6" x14ac:dyDescent="0.35">
      <c r="A161" s="1">
        <v>44196</v>
      </c>
      <c r="B161" t="s">
        <v>6</v>
      </c>
      <c r="C161" t="s">
        <v>7</v>
      </c>
      <c r="D161">
        <v>23235257</v>
      </c>
      <c r="E161" t="s">
        <v>8</v>
      </c>
      <c r="F161">
        <v>53</v>
      </c>
    </row>
    <row r="162" spans="1:6" x14ac:dyDescent="0.35">
      <c r="A162" s="1">
        <v>44196</v>
      </c>
      <c r="B162" t="s">
        <v>17</v>
      </c>
      <c r="C162" t="s">
        <v>18</v>
      </c>
      <c r="D162">
        <v>11664490</v>
      </c>
      <c r="E162" t="s">
        <v>8</v>
      </c>
      <c r="F162">
        <v>53</v>
      </c>
    </row>
    <row r="163" spans="1:6" x14ac:dyDescent="0.35">
      <c r="A163" s="1">
        <v>44196</v>
      </c>
      <c r="B163" t="s">
        <v>11</v>
      </c>
      <c r="C163" t="s">
        <v>12</v>
      </c>
      <c r="D163">
        <v>15424001</v>
      </c>
      <c r="E163" t="s">
        <v>8</v>
      </c>
      <c r="F163">
        <v>53</v>
      </c>
    </row>
    <row r="164" spans="1:6" x14ac:dyDescent="0.35">
      <c r="A164" s="1">
        <v>44196</v>
      </c>
      <c r="B164" t="s">
        <v>19</v>
      </c>
      <c r="C164" t="s">
        <v>20</v>
      </c>
      <c r="D164">
        <v>16527404</v>
      </c>
      <c r="E164" t="s">
        <v>8</v>
      </c>
      <c r="F164">
        <v>53</v>
      </c>
    </row>
    <row r="165" spans="1:6" x14ac:dyDescent="0.35">
      <c r="A165" s="1">
        <v>44196</v>
      </c>
      <c r="B165" t="s">
        <v>9</v>
      </c>
      <c r="C165" t="s">
        <v>10</v>
      </c>
      <c r="D165">
        <v>20709328</v>
      </c>
      <c r="E165" t="s">
        <v>8</v>
      </c>
      <c r="F165">
        <v>53</v>
      </c>
    </row>
    <row r="166" spans="1:6" x14ac:dyDescent="0.35">
      <c r="A166" s="1">
        <v>44196</v>
      </c>
      <c r="B166" t="s">
        <v>13</v>
      </c>
      <c r="C166" t="s">
        <v>14</v>
      </c>
      <c r="D166">
        <v>16613649</v>
      </c>
      <c r="E166" t="s">
        <v>8</v>
      </c>
      <c r="F166">
        <v>53</v>
      </c>
    </row>
    <row r="167" spans="1:6" x14ac:dyDescent="0.35">
      <c r="A167" s="1">
        <v>44196</v>
      </c>
      <c r="B167" t="s">
        <v>15</v>
      </c>
      <c r="C167" t="s">
        <v>16</v>
      </c>
      <c r="D167">
        <v>16657592</v>
      </c>
      <c r="E167" t="s">
        <v>8</v>
      </c>
      <c r="F167">
        <v>53</v>
      </c>
    </row>
    <row r="168" spans="1:6" x14ac:dyDescent="0.35">
      <c r="A168" s="1">
        <v>44511</v>
      </c>
      <c r="B168" t="s">
        <v>6</v>
      </c>
      <c r="C168" t="s">
        <v>7</v>
      </c>
      <c r="D168">
        <v>6622750</v>
      </c>
      <c r="E168" t="s">
        <v>8</v>
      </c>
      <c r="F168">
        <v>45</v>
      </c>
    </row>
    <row r="169" spans="1:6" x14ac:dyDescent="0.35">
      <c r="A169" s="1">
        <v>44518</v>
      </c>
      <c r="B169" t="s">
        <v>6</v>
      </c>
      <c r="C169" t="s">
        <v>7</v>
      </c>
      <c r="D169">
        <v>8932970</v>
      </c>
      <c r="E169" t="s">
        <v>8</v>
      </c>
      <c r="F169">
        <v>46</v>
      </c>
    </row>
    <row r="170" spans="1:6" x14ac:dyDescent="0.35">
      <c r="A170" s="1">
        <v>44518</v>
      </c>
      <c r="B170" t="s">
        <v>9</v>
      </c>
      <c r="C170" t="s">
        <v>10</v>
      </c>
      <c r="D170">
        <v>6197013</v>
      </c>
      <c r="E170" t="s">
        <v>8</v>
      </c>
      <c r="F170">
        <v>46</v>
      </c>
    </row>
    <row r="171" spans="1:6" x14ac:dyDescent="0.35">
      <c r="A171" s="1">
        <v>44525</v>
      </c>
      <c r="B171" t="s">
        <v>6</v>
      </c>
      <c r="C171" t="s">
        <v>7</v>
      </c>
      <c r="D171">
        <v>13419806</v>
      </c>
      <c r="E171" t="s">
        <v>8</v>
      </c>
      <c r="F171">
        <v>47</v>
      </c>
    </row>
    <row r="172" spans="1:6" x14ac:dyDescent="0.35">
      <c r="A172" s="1">
        <v>44525</v>
      </c>
      <c r="B172" t="s">
        <v>11</v>
      </c>
      <c r="C172" t="s">
        <v>12</v>
      </c>
      <c r="D172">
        <v>8230538</v>
      </c>
      <c r="E172" t="s">
        <v>8</v>
      </c>
      <c r="F172">
        <v>47</v>
      </c>
    </row>
    <row r="173" spans="1:6" x14ac:dyDescent="0.35">
      <c r="A173" s="1">
        <v>44525</v>
      </c>
      <c r="B173" t="s">
        <v>19</v>
      </c>
      <c r="C173" t="s">
        <v>20</v>
      </c>
      <c r="D173">
        <v>7804649</v>
      </c>
      <c r="E173" t="s">
        <v>8</v>
      </c>
      <c r="F173">
        <v>47</v>
      </c>
    </row>
    <row r="174" spans="1:6" x14ac:dyDescent="0.35">
      <c r="A174" s="1">
        <v>44525</v>
      </c>
      <c r="B174" t="s">
        <v>9</v>
      </c>
      <c r="C174" t="s">
        <v>10</v>
      </c>
      <c r="D174">
        <v>9852395</v>
      </c>
      <c r="E174" t="s">
        <v>8</v>
      </c>
      <c r="F174">
        <v>47</v>
      </c>
    </row>
    <row r="175" spans="1:6" x14ac:dyDescent="0.35">
      <c r="A175" s="1">
        <v>44525</v>
      </c>
      <c r="B175" t="s">
        <v>13</v>
      </c>
      <c r="C175" t="s">
        <v>14</v>
      </c>
      <c r="D175">
        <v>7417614</v>
      </c>
      <c r="E175" t="s">
        <v>8</v>
      </c>
      <c r="F175">
        <v>47</v>
      </c>
    </row>
    <row r="176" spans="1:6" x14ac:dyDescent="0.35">
      <c r="A176" s="1">
        <v>44525</v>
      </c>
      <c r="B176" t="s">
        <v>15</v>
      </c>
      <c r="C176" t="s">
        <v>16</v>
      </c>
      <c r="D176">
        <v>7168631</v>
      </c>
      <c r="E176" t="s">
        <v>8</v>
      </c>
      <c r="F176">
        <v>47</v>
      </c>
    </row>
    <row r="177" spans="1:6" x14ac:dyDescent="0.35">
      <c r="A177" s="1">
        <v>44532</v>
      </c>
      <c r="B177" t="s">
        <v>6</v>
      </c>
      <c r="C177" t="s">
        <v>7</v>
      </c>
      <c r="D177">
        <v>24176108</v>
      </c>
      <c r="E177" t="s">
        <v>8</v>
      </c>
      <c r="F177">
        <v>48</v>
      </c>
    </row>
    <row r="178" spans="1:6" x14ac:dyDescent="0.35">
      <c r="A178" s="1">
        <v>44532</v>
      </c>
      <c r="B178" t="s">
        <v>17</v>
      </c>
      <c r="C178" t="s">
        <v>18</v>
      </c>
      <c r="D178">
        <v>10073595</v>
      </c>
      <c r="E178" t="s">
        <v>8</v>
      </c>
      <c r="F178">
        <v>48</v>
      </c>
    </row>
    <row r="179" spans="1:6" x14ac:dyDescent="0.35">
      <c r="A179" s="1">
        <v>44532</v>
      </c>
      <c r="B179" t="s">
        <v>11</v>
      </c>
      <c r="C179" t="s">
        <v>12</v>
      </c>
      <c r="D179">
        <v>15504798</v>
      </c>
      <c r="E179" t="s">
        <v>8</v>
      </c>
      <c r="F179">
        <v>48</v>
      </c>
    </row>
    <row r="180" spans="1:6" x14ac:dyDescent="0.35">
      <c r="A180" s="1">
        <v>44532</v>
      </c>
      <c r="B180" t="s">
        <v>19</v>
      </c>
      <c r="C180" t="s">
        <v>20</v>
      </c>
      <c r="D180">
        <v>14983449</v>
      </c>
      <c r="E180" t="s">
        <v>8</v>
      </c>
      <c r="F180">
        <v>48</v>
      </c>
    </row>
    <row r="181" spans="1:6" x14ac:dyDescent="0.35">
      <c r="A181" s="1">
        <v>44532</v>
      </c>
      <c r="B181" t="s">
        <v>9</v>
      </c>
      <c r="C181" t="s">
        <v>10</v>
      </c>
      <c r="D181">
        <v>19349663</v>
      </c>
      <c r="E181" t="s">
        <v>8</v>
      </c>
      <c r="F181">
        <v>48</v>
      </c>
    </row>
    <row r="182" spans="1:6" x14ac:dyDescent="0.35">
      <c r="A182" s="1">
        <v>44532</v>
      </c>
      <c r="B182" t="s">
        <v>13</v>
      </c>
      <c r="C182" t="s">
        <v>14</v>
      </c>
      <c r="D182">
        <v>14460190</v>
      </c>
      <c r="E182" t="s">
        <v>8</v>
      </c>
      <c r="F182">
        <v>48</v>
      </c>
    </row>
    <row r="183" spans="1:6" x14ac:dyDescent="0.35">
      <c r="A183" s="1">
        <v>44532</v>
      </c>
      <c r="B183" t="s">
        <v>15</v>
      </c>
      <c r="C183" t="s">
        <v>16</v>
      </c>
      <c r="D183">
        <v>13437236</v>
      </c>
      <c r="E183" t="s">
        <v>8</v>
      </c>
      <c r="F183">
        <v>48</v>
      </c>
    </row>
    <row r="184" spans="1:6" x14ac:dyDescent="0.35">
      <c r="A184" s="1">
        <v>44539</v>
      </c>
      <c r="B184" t="s">
        <v>6</v>
      </c>
      <c r="C184" t="s">
        <v>7</v>
      </c>
      <c r="D184">
        <v>30344322</v>
      </c>
      <c r="E184" t="s">
        <v>8</v>
      </c>
      <c r="F184">
        <v>49</v>
      </c>
    </row>
    <row r="185" spans="1:6" x14ac:dyDescent="0.35">
      <c r="A185" s="1">
        <v>44539</v>
      </c>
      <c r="B185" t="s">
        <v>17</v>
      </c>
      <c r="C185" t="s">
        <v>18</v>
      </c>
      <c r="D185">
        <v>13402203</v>
      </c>
      <c r="E185" t="s">
        <v>8</v>
      </c>
      <c r="F185">
        <v>49</v>
      </c>
    </row>
    <row r="186" spans="1:6" x14ac:dyDescent="0.35">
      <c r="A186" s="1">
        <v>44539</v>
      </c>
      <c r="B186" t="s">
        <v>11</v>
      </c>
      <c r="C186" t="s">
        <v>12</v>
      </c>
      <c r="D186">
        <v>19902694</v>
      </c>
      <c r="E186" t="s">
        <v>8</v>
      </c>
      <c r="F186">
        <v>49</v>
      </c>
    </row>
    <row r="187" spans="1:6" x14ac:dyDescent="0.35">
      <c r="A187" s="1">
        <v>44539</v>
      </c>
      <c r="B187" t="s">
        <v>19</v>
      </c>
      <c r="C187" t="s">
        <v>20</v>
      </c>
      <c r="D187">
        <v>19754610</v>
      </c>
      <c r="E187" t="s">
        <v>8</v>
      </c>
      <c r="F187">
        <v>49</v>
      </c>
    </row>
    <row r="188" spans="1:6" x14ac:dyDescent="0.35">
      <c r="A188" s="1">
        <v>44539</v>
      </c>
      <c r="B188" t="s">
        <v>9</v>
      </c>
      <c r="C188" t="s">
        <v>10</v>
      </c>
      <c r="D188">
        <v>24943790</v>
      </c>
      <c r="E188" t="s">
        <v>8</v>
      </c>
      <c r="F188">
        <v>49</v>
      </c>
    </row>
    <row r="189" spans="1:6" x14ac:dyDescent="0.35">
      <c r="A189" s="1">
        <v>44539</v>
      </c>
      <c r="B189" t="s">
        <v>13</v>
      </c>
      <c r="C189" t="s">
        <v>14</v>
      </c>
      <c r="D189">
        <v>19430205</v>
      </c>
      <c r="E189" t="s">
        <v>8</v>
      </c>
      <c r="F189">
        <v>49</v>
      </c>
    </row>
    <row r="190" spans="1:6" x14ac:dyDescent="0.35">
      <c r="A190" s="1">
        <v>44539</v>
      </c>
      <c r="B190" t="s">
        <v>15</v>
      </c>
      <c r="C190" t="s">
        <v>16</v>
      </c>
      <c r="D190">
        <v>17670168</v>
      </c>
      <c r="E190" t="s">
        <v>8</v>
      </c>
      <c r="F190">
        <v>49</v>
      </c>
    </row>
    <row r="191" spans="1:6" x14ac:dyDescent="0.35">
      <c r="A191" s="1">
        <v>44546</v>
      </c>
      <c r="B191" t="s">
        <v>6</v>
      </c>
      <c r="C191" t="s">
        <v>7</v>
      </c>
      <c r="D191">
        <v>32175593</v>
      </c>
      <c r="E191" t="s">
        <v>8</v>
      </c>
      <c r="F191">
        <v>50</v>
      </c>
    </row>
    <row r="192" spans="1:6" x14ac:dyDescent="0.35">
      <c r="A192" s="1">
        <v>44546</v>
      </c>
      <c r="B192" t="s">
        <v>17</v>
      </c>
      <c r="C192" t="s">
        <v>18</v>
      </c>
      <c r="D192">
        <v>15099567</v>
      </c>
      <c r="E192" t="s">
        <v>8</v>
      </c>
      <c r="F192">
        <v>50</v>
      </c>
    </row>
    <row r="193" spans="1:6" x14ac:dyDescent="0.35">
      <c r="A193" s="1">
        <v>44546</v>
      </c>
      <c r="B193" t="s">
        <v>11</v>
      </c>
      <c r="C193" t="s">
        <v>12</v>
      </c>
      <c r="D193">
        <v>21259884</v>
      </c>
      <c r="E193" t="s">
        <v>8</v>
      </c>
      <c r="F193">
        <v>50</v>
      </c>
    </row>
    <row r="194" spans="1:6" x14ac:dyDescent="0.35">
      <c r="A194" s="1">
        <v>44546</v>
      </c>
      <c r="B194" t="s">
        <v>19</v>
      </c>
      <c r="C194" t="s">
        <v>20</v>
      </c>
      <c r="D194">
        <v>21479503</v>
      </c>
      <c r="E194" t="s">
        <v>8</v>
      </c>
      <c r="F194">
        <v>50</v>
      </c>
    </row>
    <row r="195" spans="1:6" x14ac:dyDescent="0.35">
      <c r="A195" s="1">
        <v>44546</v>
      </c>
      <c r="B195" t="s">
        <v>9</v>
      </c>
      <c r="C195" t="s">
        <v>10</v>
      </c>
      <c r="D195">
        <v>27077848</v>
      </c>
      <c r="E195" t="s">
        <v>8</v>
      </c>
      <c r="F195">
        <v>50</v>
      </c>
    </row>
    <row r="196" spans="1:6" x14ac:dyDescent="0.35">
      <c r="A196" s="1">
        <v>44546</v>
      </c>
      <c r="B196" t="s">
        <v>13</v>
      </c>
      <c r="C196" t="s">
        <v>14</v>
      </c>
      <c r="D196">
        <v>22095540</v>
      </c>
      <c r="E196" t="s">
        <v>8</v>
      </c>
      <c r="F196">
        <v>50</v>
      </c>
    </row>
    <row r="197" spans="1:6" x14ac:dyDescent="0.35">
      <c r="A197" s="1">
        <v>44546</v>
      </c>
      <c r="B197" t="s">
        <v>15</v>
      </c>
      <c r="C197" t="s">
        <v>16</v>
      </c>
      <c r="D197">
        <v>19655526</v>
      </c>
      <c r="E197" t="s">
        <v>8</v>
      </c>
      <c r="F197">
        <v>50</v>
      </c>
    </row>
    <row r="198" spans="1:6" x14ac:dyDescent="0.35">
      <c r="A198" s="1">
        <v>44553</v>
      </c>
      <c r="B198" t="s">
        <v>6</v>
      </c>
      <c r="C198" t="s">
        <v>7</v>
      </c>
      <c r="D198">
        <v>41518285</v>
      </c>
      <c r="E198" t="s">
        <v>8</v>
      </c>
      <c r="F198">
        <v>51</v>
      </c>
    </row>
    <row r="199" spans="1:6" x14ac:dyDescent="0.35">
      <c r="A199" s="1">
        <v>44553</v>
      </c>
      <c r="B199" t="s">
        <v>17</v>
      </c>
      <c r="C199" t="s">
        <v>18</v>
      </c>
      <c r="D199">
        <v>20663443</v>
      </c>
      <c r="E199" t="s">
        <v>8</v>
      </c>
      <c r="F199">
        <v>51</v>
      </c>
    </row>
    <row r="200" spans="1:6" x14ac:dyDescent="0.35">
      <c r="A200" s="1">
        <v>44553</v>
      </c>
      <c r="B200" t="s">
        <v>11</v>
      </c>
      <c r="C200" t="s">
        <v>12</v>
      </c>
      <c r="D200">
        <v>27551436</v>
      </c>
      <c r="E200" t="s">
        <v>8</v>
      </c>
      <c r="F200">
        <v>51</v>
      </c>
    </row>
    <row r="201" spans="1:6" x14ac:dyDescent="0.35">
      <c r="A201" s="1">
        <v>44553</v>
      </c>
      <c r="B201" t="s">
        <v>19</v>
      </c>
      <c r="C201" t="s">
        <v>20</v>
      </c>
      <c r="D201">
        <v>28959509</v>
      </c>
      <c r="E201" t="s">
        <v>8</v>
      </c>
      <c r="F201">
        <v>51</v>
      </c>
    </row>
    <row r="202" spans="1:6" x14ac:dyDescent="0.35">
      <c r="A202" s="1">
        <v>44553</v>
      </c>
      <c r="B202" t="s">
        <v>9</v>
      </c>
      <c r="C202" t="s">
        <v>10</v>
      </c>
      <c r="D202">
        <v>36107065</v>
      </c>
      <c r="E202" t="s">
        <v>8</v>
      </c>
      <c r="F202">
        <v>51</v>
      </c>
    </row>
    <row r="203" spans="1:6" x14ac:dyDescent="0.35">
      <c r="A203" s="1">
        <v>44553</v>
      </c>
      <c r="B203" t="s">
        <v>13</v>
      </c>
      <c r="C203" t="s">
        <v>14</v>
      </c>
      <c r="D203">
        <v>30343074</v>
      </c>
      <c r="E203" t="s">
        <v>8</v>
      </c>
      <c r="F203">
        <v>51</v>
      </c>
    </row>
    <row r="204" spans="1:6" x14ac:dyDescent="0.35">
      <c r="A204" s="1">
        <v>44553</v>
      </c>
      <c r="B204" t="s">
        <v>15</v>
      </c>
      <c r="C204" t="s">
        <v>16</v>
      </c>
      <c r="D204">
        <v>25964611</v>
      </c>
      <c r="E204" t="s">
        <v>8</v>
      </c>
      <c r="F204">
        <v>51</v>
      </c>
    </row>
    <row r="205" spans="1:6" x14ac:dyDescent="0.35">
      <c r="A205" s="1">
        <v>44560</v>
      </c>
      <c r="B205" t="s">
        <v>6</v>
      </c>
      <c r="C205" t="s">
        <v>7</v>
      </c>
      <c r="D205">
        <v>38691349</v>
      </c>
      <c r="E205" t="s">
        <v>8</v>
      </c>
      <c r="F205">
        <v>52</v>
      </c>
    </row>
    <row r="206" spans="1:6" x14ac:dyDescent="0.35">
      <c r="A206" s="1">
        <v>44560</v>
      </c>
      <c r="B206" t="s">
        <v>17</v>
      </c>
      <c r="C206" t="s">
        <v>18</v>
      </c>
      <c r="D206">
        <v>21021159</v>
      </c>
      <c r="E206" t="s">
        <v>8</v>
      </c>
      <c r="F206">
        <v>52</v>
      </c>
    </row>
    <row r="207" spans="1:6" x14ac:dyDescent="0.35">
      <c r="A207" s="1">
        <v>44560</v>
      </c>
      <c r="B207" t="s">
        <v>11</v>
      </c>
      <c r="C207" t="s">
        <v>12</v>
      </c>
      <c r="D207">
        <v>25811527</v>
      </c>
      <c r="E207" t="s">
        <v>8</v>
      </c>
      <c r="F207">
        <v>52</v>
      </c>
    </row>
    <row r="208" spans="1:6" x14ac:dyDescent="0.35">
      <c r="A208" s="1">
        <v>44560</v>
      </c>
      <c r="B208" t="s">
        <v>19</v>
      </c>
      <c r="C208" t="s">
        <v>20</v>
      </c>
      <c r="D208">
        <v>27275884</v>
      </c>
      <c r="E208" t="s">
        <v>8</v>
      </c>
      <c r="F208">
        <v>52</v>
      </c>
    </row>
    <row r="209" spans="1:6" x14ac:dyDescent="0.35">
      <c r="A209" s="1">
        <v>44560</v>
      </c>
      <c r="B209" t="s">
        <v>9</v>
      </c>
      <c r="C209" t="s">
        <v>10</v>
      </c>
      <c r="D209">
        <v>33973886</v>
      </c>
      <c r="E209" t="s">
        <v>8</v>
      </c>
      <c r="F209">
        <v>52</v>
      </c>
    </row>
    <row r="210" spans="1:6" x14ac:dyDescent="0.35">
      <c r="A210" s="1">
        <v>44560</v>
      </c>
      <c r="B210" t="s">
        <v>13</v>
      </c>
      <c r="C210" t="s">
        <v>14</v>
      </c>
      <c r="D210">
        <v>27687876</v>
      </c>
      <c r="E210" t="s">
        <v>8</v>
      </c>
      <c r="F210">
        <v>52</v>
      </c>
    </row>
    <row r="211" spans="1:6" x14ac:dyDescent="0.35">
      <c r="A211" s="1">
        <v>44560</v>
      </c>
      <c r="B211" t="s">
        <v>15</v>
      </c>
      <c r="C211" t="s">
        <v>16</v>
      </c>
      <c r="D211">
        <v>23777493</v>
      </c>
      <c r="E211" t="s">
        <v>8</v>
      </c>
      <c r="F211">
        <v>52</v>
      </c>
    </row>
    <row r="212" spans="1:6" x14ac:dyDescent="0.35">
      <c r="A212" s="1">
        <v>44875</v>
      </c>
      <c r="B212" t="s">
        <v>6</v>
      </c>
      <c r="C212" t="s">
        <v>7</v>
      </c>
      <c r="D212">
        <v>8569420</v>
      </c>
      <c r="E212" t="s">
        <v>8</v>
      </c>
      <c r="F212">
        <v>45</v>
      </c>
    </row>
    <row r="213" spans="1:6" x14ac:dyDescent="0.35">
      <c r="A213" s="1">
        <v>44882</v>
      </c>
      <c r="B213" t="s">
        <v>6</v>
      </c>
      <c r="C213" t="s">
        <v>7</v>
      </c>
      <c r="D213">
        <v>12137477</v>
      </c>
      <c r="E213" t="s">
        <v>8</v>
      </c>
      <c r="F213">
        <v>46</v>
      </c>
    </row>
    <row r="214" spans="1:6" x14ac:dyDescent="0.35">
      <c r="A214" s="1">
        <v>44882</v>
      </c>
      <c r="B214" t="s">
        <v>19</v>
      </c>
      <c r="C214" t="s">
        <v>20</v>
      </c>
      <c r="D214">
        <v>7084762</v>
      </c>
      <c r="E214" t="s">
        <v>8</v>
      </c>
      <c r="F214">
        <v>46</v>
      </c>
    </row>
    <row r="215" spans="1:6" x14ac:dyDescent="0.35">
      <c r="A215" s="1">
        <v>44882</v>
      </c>
      <c r="B215" t="s">
        <v>9</v>
      </c>
      <c r="C215" t="s">
        <v>10</v>
      </c>
      <c r="D215">
        <v>8237725</v>
      </c>
      <c r="E215" t="s">
        <v>8</v>
      </c>
      <c r="F215">
        <v>46</v>
      </c>
    </row>
    <row r="216" spans="1:6" x14ac:dyDescent="0.35">
      <c r="A216" s="1">
        <v>44882</v>
      </c>
      <c r="B216" t="s">
        <v>13</v>
      </c>
      <c r="C216" t="s">
        <v>14</v>
      </c>
      <c r="D216">
        <v>7517013</v>
      </c>
      <c r="E216" t="s">
        <v>8</v>
      </c>
      <c r="F216">
        <v>46</v>
      </c>
    </row>
    <row r="217" spans="1:6" x14ac:dyDescent="0.35">
      <c r="A217" s="1">
        <v>44889</v>
      </c>
      <c r="B217" t="s">
        <v>6</v>
      </c>
      <c r="C217" t="s">
        <v>7</v>
      </c>
      <c r="D217">
        <v>18916682</v>
      </c>
      <c r="E217" t="s">
        <v>8</v>
      </c>
      <c r="F217">
        <v>47</v>
      </c>
    </row>
    <row r="218" spans="1:6" x14ac:dyDescent="0.35">
      <c r="A218" s="1">
        <v>44889</v>
      </c>
      <c r="B218" t="s">
        <v>11</v>
      </c>
      <c r="C218" t="s">
        <v>12</v>
      </c>
      <c r="D218">
        <v>11312189</v>
      </c>
      <c r="E218" t="s">
        <v>8</v>
      </c>
      <c r="F218">
        <v>47</v>
      </c>
    </row>
    <row r="219" spans="1:6" x14ac:dyDescent="0.35">
      <c r="A219" s="1">
        <v>44889</v>
      </c>
      <c r="B219" t="s">
        <v>19</v>
      </c>
      <c r="C219" t="s">
        <v>20</v>
      </c>
      <c r="D219">
        <v>11660973</v>
      </c>
      <c r="E219" t="s">
        <v>8</v>
      </c>
      <c r="F219">
        <v>47</v>
      </c>
    </row>
    <row r="220" spans="1:6" x14ac:dyDescent="0.35">
      <c r="A220" s="1">
        <v>44889</v>
      </c>
      <c r="B220" t="s">
        <v>9</v>
      </c>
      <c r="C220" t="s">
        <v>10</v>
      </c>
      <c r="D220">
        <v>13983131</v>
      </c>
      <c r="E220" t="s">
        <v>8</v>
      </c>
      <c r="F220">
        <v>47</v>
      </c>
    </row>
    <row r="221" spans="1:6" x14ac:dyDescent="0.35">
      <c r="A221" s="1">
        <v>44889</v>
      </c>
      <c r="B221" t="s">
        <v>13</v>
      </c>
      <c r="C221" t="s">
        <v>14</v>
      </c>
      <c r="D221">
        <v>12680089</v>
      </c>
      <c r="E221" t="s">
        <v>8</v>
      </c>
      <c r="F221">
        <v>47</v>
      </c>
    </row>
    <row r="222" spans="1:6" x14ac:dyDescent="0.35">
      <c r="A222" s="1">
        <v>44889</v>
      </c>
      <c r="B222" t="s">
        <v>15</v>
      </c>
      <c r="C222" t="s">
        <v>16</v>
      </c>
      <c r="D222">
        <v>10280626</v>
      </c>
      <c r="E222" t="s">
        <v>8</v>
      </c>
      <c r="F222">
        <v>47</v>
      </c>
    </row>
    <row r="223" spans="1:6" x14ac:dyDescent="0.35">
      <c r="A223" s="1">
        <v>44896</v>
      </c>
      <c r="B223" t="s">
        <v>6</v>
      </c>
      <c r="C223" t="s">
        <v>7</v>
      </c>
      <c r="D223">
        <v>27676347</v>
      </c>
      <c r="E223" t="s">
        <v>8</v>
      </c>
      <c r="F223">
        <v>48</v>
      </c>
    </row>
    <row r="224" spans="1:6" x14ac:dyDescent="0.35">
      <c r="A224" s="1">
        <v>44896</v>
      </c>
      <c r="B224" t="s">
        <v>17</v>
      </c>
      <c r="C224" t="s">
        <v>18</v>
      </c>
      <c r="D224">
        <v>11596742</v>
      </c>
      <c r="E224" t="s">
        <v>8</v>
      </c>
      <c r="F224">
        <v>48</v>
      </c>
    </row>
    <row r="225" spans="1:6" x14ac:dyDescent="0.35">
      <c r="A225" s="1">
        <v>44896</v>
      </c>
      <c r="B225" t="s">
        <v>11</v>
      </c>
      <c r="C225" t="s">
        <v>12</v>
      </c>
      <c r="D225">
        <v>18026042</v>
      </c>
      <c r="E225" t="s">
        <v>8</v>
      </c>
      <c r="F225">
        <v>48</v>
      </c>
    </row>
    <row r="226" spans="1:6" x14ac:dyDescent="0.35">
      <c r="A226" s="1">
        <v>44896</v>
      </c>
      <c r="B226" t="s">
        <v>19</v>
      </c>
      <c r="C226" t="s">
        <v>20</v>
      </c>
      <c r="D226">
        <v>18954484</v>
      </c>
      <c r="E226" t="s">
        <v>8</v>
      </c>
      <c r="F226">
        <v>48</v>
      </c>
    </row>
    <row r="227" spans="1:6" x14ac:dyDescent="0.35">
      <c r="A227" s="1">
        <v>44896</v>
      </c>
      <c r="B227" t="s">
        <v>9</v>
      </c>
      <c r="C227" t="s">
        <v>10</v>
      </c>
      <c r="D227">
        <v>22329568</v>
      </c>
      <c r="E227" t="s">
        <v>8</v>
      </c>
      <c r="F227">
        <v>48</v>
      </c>
    </row>
    <row r="228" spans="1:6" x14ac:dyDescent="0.35">
      <c r="A228" s="1">
        <v>44896</v>
      </c>
      <c r="B228" t="s">
        <v>13</v>
      </c>
      <c r="C228" t="s">
        <v>14</v>
      </c>
      <c r="D228">
        <v>21093738</v>
      </c>
      <c r="E228" t="s">
        <v>8</v>
      </c>
      <c r="F228">
        <v>48</v>
      </c>
    </row>
    <row r="229" spans="1:6" x14ac:dyDescent="0.35">
      <c r="A229" s="1">
        <v>44896</v>
      </c>
      <c r="B229" t="s">
        <v>15</v>
      </c>
      <c r="C229" t="s">
        <v>16</v>
      </c>
      <c r="D229">
        <v>15813791</v>
      </c>
      <c r="E229" t="s">
        <v>8</v>
      </c>
      <c r="F229">
        <v>48</v>
      </c>
    </row>
    <row r="230" spans="1:6" x14ac:dyDescent="0.35">
      <c r="A230" s="1">
        <v>44903</v>
      </c>
      <c r="B230" t="s">
        <v>6</v>
      </c>
      <c r="C230" t="s">
        <v>7</v>
      </c>
      <c r="D230">
        <v>37016166</v>
      </c>
      <c r="E230" t="s">
        <v>8</v>
      </c>
      <c r="F230">
        <v>49</v>
      </c>
    </row>
    <row r="231" spans="1:6" x14ac:dyDescent="0.35">
      <c r="A231" s="1">
        <v>44903</v>
      </c>
      <c r="B231" t="s">
        <v>17</v>
      </c>
      <c r="C231" t="s">
        <v>18</v>
      </c>
      <c r="D231">
        <v>16626089</v>
      </c>
      <c r="E231" t="s">
        <v>8</v>
      </c>
      <c r="F231">
        <v>49</v>
      </c>
    </row>
    <row r="232" spans="1:6" x14ac:dyDescent="0.35">
      <c r="A232" s="1">
        <v>44903</v>
      </c>
      <c r="B232" t="s">
        <v>11</v>
      </c>
      <c r="C232" t="s">
        <v>12</v>
      </c>
      <c r="D232">
        <v>24301141</v>
      </c>
      <c r="E232" t="s">
        <v>8</v>
      </c>
      <c r="F232">
        <v>49</v>
      </c>
    </row>
    <row r="233" spans="1:6" x14ac:dyDescent="0.35">
      <c r="A233" s="1">
        <v>44903</v>
      </c>
      <c r="B233" t="s">
        <v>19</v>
      </c>
      <c r="C233" t="s">
        <v>20</v>
      </c>
      <c r="D233">
        <v>24811088</v>
      </c>
      <c r="E233" t="s">
        <v>8</v>
      </c>
      <c r="F233">
        <v>49</v>
      </c>
    </row>
    <row r="234" spans="1:6" x14ac:dyDescent="0.35">
      <c r="A234" s="1">
        <v>44903</v>
      </c>
      <c r="B234" t="s">
        <v>9</v>
      </c>
      <c r="C234" t="s">
        <v>10</v>
      </c>
      <c r="D234">
        <v>31520346</v>
      </c>
      <c r="E234" t="s">
        <v>8</v>
      </c>
      <c r="F234">
        <v>49</v>
      </c>
    </row>
    <row r="235" spans="1:6" x14ac:dyDescent="0.35">
      <c r="A235" s="1">
        <v>44903</v>
      </c>
      <c r="B235" t="s">
        <v>13</v>
      </c>
      <c r="C235" t="s">
        <v>14</v>
      </c>
      <c r="D235">
        <v>28827742</v>
      </c>
      <c r="E235" t="s">
        <v>8</v>
      </c>
      <c r="F235">
        <v>49</v>
      </c>
    </row>
    <row r="236" spans="1:6" x14ac:dyDescent="0.35">
      <c r="A236" s="1">
        <v>44903</v>
      </c>
      <c r="B236" t="s">
        <v>15</v>
      </c>
      <c r="C236" t="s">
        <v>16</v>
      </c>
      <c r="D236">
        <v>21920746</v>
      </c>
      <c r="E236" t="s">
        <v>8</v>
      </c>
      <c r="F236">
        <v>49</v>
      </c>
    </row>
    <row r="237" spans="1:6" x14ac:dyDescent="0.35">
      <c r="A237" s="1">
        <v>44910</v>
      </c>
      <c r="B237" t="s">
        <v>6</v>
      </c>
      <c r="C237" t="s">
        <v>7</v>
      </c>
      <c r="D237">
        <v>41921397</v>
      </c>
      <c r="E237" t="s">
        <v>8</v>
      </c>
      <c r="F237">
        <v>50</v>
      </c>
    </row>
    <row r="238" spans="1:6" x14ac:dyDescent="0.35">
      <c r="A238" s="1">
        <v>44910</v>
      </c>
      <c r="B238" t="s">
        <v>17</v>
      </c>
      <c r="C238" t="s">
        <v>18</v>
      </c>
      <c r="D238">
        <v>20281372</v>
      </c>
      <c r="E238" t="s">
        <v>8</v>
      </c>
      <c r="F238">
        <v>50</v>
      </c>
    </row>
    <row r="239" spans="1:6" x14ac:dyDescent="0.35">
      <c r="A239" s="1">
        <v>44910</v>
      </c>
      <c r="B239" t="s">
        <v>11</v>
      </c>
      <c r="C239" t="s">
        <v>12</v>
      </c>
      <c r="D239">
        <v>27389287</v>
      </c>
      <c r="E239" t="s">
        <v>8</v>
      </c>
      <c r="F239">
        <v>50</v>
      </c>
    </row>
    <row r="240" spans="1:6" x14ac:dyDescent="0.35">
      <c r="A240" s="1">
        <v>44910</v>
      </c>
      <c r="B240" t="s">
        <v>19</v>
      </c>
      <c r="C240" t="s">
        <v>20</v>
      </c>
      <c r="D240">
        <v>29842872</v>
      </c>
      <c r="E240" t="s">
        <v>8</v>
      </c>
      <c r="F240">
        <v>50</v>
      </c>
    </row>
    <row r="241" spans="1:6" x14ac:dyDescent="0.35">
      <c r="A241" s="1">
        <v>44910</v>
      </c>
      <c r="B241" t="s">
        <v>9</v>
      </c>
      <c r="C241" t="s">
        <v>10</v>
      </c>
      <c r="D241">
        <v>36598697</v>
      </c>
      <c r="E241" t="s">
        <v>8</v>
      </c>
      <c r="F241">
        <v>50</v>
      </c>
    </row>
    <row r="242" spans="1:6" x14ac:dyDescent="0.35">
      <c r="A242" s="1">
        <v>44910</v>
      </c>
      <c r="B242" t="s">
        <v>13</v>
      </c>
      <c r="C242" t="s">
        <v>14</v>
      </c>
      <c r="D242">
        <v>34725307</v>
      </c>
      <c r="E242" t="s">
        <v>8</v>
      </c>
      <c r="F242">
        <v>50</v>
      </c>
    </row>
    <row r="243" spans="1:6" x14ac:dyDescent="0.35">
      <c r="A243" s="1">
        <v>44910</v>
      </c>
      <c r="B243" t="s">
        <v>15</v>
      </c>
      <c r="C243" t="s">
        <v>16</v>
      </c>
      <c r="D243">
        <v>24641305</v>
      </c>
      <c r="E243" t="s">
        <v>8</v>
      </c>
      <c r="F243">
        <v>50</v>
      </c>
    </row>
    <row r="244" spans="1:6" x14ac:dyDescent="0.35">
      <c r="A244" s="1">
        <v>44917</v>
      </c>
      <c r="B244" t="s">
        <v>6</v>
      </c>
      <c r="C244" t="s">
        <v>7</v>
      </c>
      <c r="D244">
        <v>48156836</v>
      </c>
      <c r="E244" t="s">
        <v>8</v>
      </c>
      <c r="F244">
        <v>51</v>
      </c>
    </row>
    <row r="245" spans="1:6" x14ac:dyDescent="0.35">
      <c r="A245" s="1">
        <v>44917</v>
      </c>
      <c r="B245" t="s">
        <v>17</v>
      </c>
      <c r="C245" t="s">
        <v>18</v>
      </c>
      <c r="D245">
        <v>25449827</v>
      </c>
      <c r="E245" t="s">
        <v>8</v>
      </c>
      <c r="F245">
        <v>51</v>
      </c>
    </row>
    <row r="246" spans="1:6" x14ac:dyDescent="0.35">
      <c r="A246" s="1">
        <v>44917</v>
      </c>
      <c r="B246" t="s">
        <v>11</v>
      </c>
      <c r="C246" t="s">
        <v>12</v>
      </c>
      <c r="D246">
        <v>31885806</v>
      </c>
      <c r="E246" t="s">
        <v>8</v>
      </c>
      <c r="F246">
        <v>51</v>
      </c>
    </row>
    <row r="247" spans="1:6" x14ac:dyDescent="0.35">
      <c r="A247" s="1">
        <v>44917</v>
      </c>
      <c r="B247" t="s">
        <v>19</v>
      </c>
      <c r="C247" t="s">
        <v>20</v>
      </c>
      <c r="D247">
        <v>35707249</v>
      </c>
      <c r="E247" t="s">
        <v>8</v>
      </c>
      <c r="F247">
        <v>51</v>
      </c>
    </row>
    <row r="248" spans="1:6" x14ac:dyDescent="0.35">
      <c r="A248" s="1">
        <v>44917</v>
      </c>
      <c r="B248" t="s">
        <v>9</v>
      </c>
      <c r="C248" t="s">
        <v>10</v>
      </c>
      <c r="D248">
        <v>43177189</v>
      </c>
      <c r="E248" t="s">
        <v>8</v>
      </c>
      <c r="F248">
        <v>51</v>
      </c>
    </row>
    <row r="249" spans="1:6" x14ac:dyDescent="0.35">
      <c r="A249" s="1">
        <v>44917</v>
      </c>
      <c r="B249" t="s">
        <v>13</v>
      </c>
      <c r="C249" t="s">
        <v>14</v>
      </c>
      <c r="D249">
        <v>40917945</v>
      </c>
      <c r="E249" t="s">
        <v>8</v>
      </c>
      <c r="F249">
        <v>51</v>
      </c>
    </row>
    <row r="250" spans="1:6" x14ac:dyDescent="0.35">
      <c r="A250" s="1">
        <v>44917</v>
      </c>
      <c r="B250" t="s">
        <v>15</v>
      </c>
      <c r="C250" t="s">
        <v>16</v>
      </c>
      <c r="D250">
        <v>28754864</v>
      </c>
      <c r="E250" t="s">
        <v>8</v>
      </c>
      <c r="F250">
        <v>51</v>
      </c>
    </row>
    <row r="251" spans="1:6" x14ac:dyDescent="0.35">
      <c r="A251" s="1">
        <v>44924</v>
      </c>
      <c r="B251" t="s">
        <v>6</v>
      </c>
      <c r="C251" t="s">
        <v>7</v>
      </c>
      <c r="D251">
        <v>57651756</v>
      </c>
      <c r="E251" t="s">
        <v>8</v>
      </c>
      <c r="F251">
        <v>52</v>
      </c>
    </row>
    <row r="252" spans="1:6" x14ac:dyDescent="0.35">
      <c r="A252" s="1">
        <v>44924</v>
      </c>
      <c r="B252" t="s">
        <v>17</v>
      </c>
      <c r="C252" t="s">
        <v>18</v>
      </c>
      <c r="D252">
        <v>34335283</v>
      </c>
      <c r="E252" t="s">
        <v>8</v>
      </c>
      <c r="F252">
        <v>52</v>
      </c>
    </row>
    <row r="253" spans="1:6" x14ac:dyDescent="0.35">
      <c r="A253" s="1">
        <v>44924</v>
      </c>
      <c r="B253" t="s">
        <v>11</v>
      </c>
      <c r="C253" t="s">
        <v>12</v>
      </c>
      <c r="D253">
        <v>39394212</v>
      </c>
      <c r="E253" t="s">
        <v>8</v>
      </c>
      <c r="F253">
        <v>52</v>
      </c>
    </row>
    <row r="254" spans="1:6" x14ac:dyDescent="0.35">
      <c r="A254" s="1">
        <v>44924</v>
      </c>
      <c r="B254" t="s">
        <v>19</v>
      </c>
      <c r="C254" t="s">
        <v>20</v>
      </c>
      <c r="D254">
        <v>44144398</v>
      </c>
      <c r="E254" t="s">
        <v>8</v>
      </c>
      <c r="F254">
        <v>52</v>
      </c>
    </row>
    <row r="255" spans="1:6" x14ac:dyDescent="0.35">
      <c r="A255" s="1">
        <v>44924</v>
      </c>
      <c r="B255" t="s">
        <v>9</v>
      </c>
      <c r="C255" t="s">
        <v>10</v>
      </c>
      <c r="D255">
        <v>52683220</v>
      </c>
      <c r="E255" t="s">
        <v>8</v>
      </c>
      <c r="F255">
        <v>52</v>
      </c>
    </row>
    <row r="256" spans="1:6" x14ac:dyDescent="0.35">
      <c r="A256" s="1">
        <v>44924</v>
      </c>
      <c r="B256" t="s">
        <v>13</v>
      </c>
      <c r="C256" t="s">
        <v>14</v>
      </c>
      <c r="D256">
        <v>48147082</v>
      </c>
      <c r="E256" t="s">
        <v>8</v>
      </c>
      <c r="F256">
        <v>52</v>
      </c>
    </row>
    <row r="257" spans="1:6" x14ac:dyDescent="0.35">
      <c r="A257" s="1">
        <v>44924</v>
      </c>
      <c r="B257" t="s">
        <v>15</v>
      </c>
      <c r="C257" t="s">
        <v>16</v>
      </c>
      <c r="D257">
        <v>34113273</v>
      </c>
      <c r="E257" t="s">
        <v>8</v>
      </c>
      <c r="F257">
        <v>52</v>
      </c>
    </row>
    <row r="258" spans="1:6" x14ac:dyDescent="0.35">
      <c r="A258" s="1">
        <v>45239</v>
      </c>
      <c r="B258" t="s">
        <v>6</v>
      </c>
      <c r="C258" t="s">
        <v>7</v>
      </c>
      <c r="D258">
        <v>11713143</v>
      </c>
      <c r="E258" t="s">
        <v>8</v>
      </c>
      <c r="F258">
        <v>45</v>
      </c>
    </row>
    <row r="259" spans="1:6" x14ac:dyDescent="0.35">
      <c r="A259" s="1">
        <v>45239</v>
      </c>
      <c r="B259" t="s">
        <v>9</v>
      </c>
      <c r="C259" t="s">
        <v>10</v>
      </c>
      <c r="D259">
        <v>9447986</v>
      </c>
      <c r="E259" t="s">
        <v>8</v>
      </c>
      <c r="F259">
        <v>45</v>
      </c>
    </row>
    <row r="260" spans="1:6" x14ac:dyDescent="0.35">
      <c r="A260" s="1">
        <v>45246</v>
      </c>
      <c r="B260" t="s">
        <v>6</v>
      </c>
      <c r="C260" t="s">
        <v>7</v>
      </c>
      <c r="D260">
        <v>14923197</v>
      </c>
      <c r="E260" t="s">
        <v>8</v>
      </c>
      <c r="F260">
        <v>46</v>
      </c>
    </row>
    <row r="261" spans="1:6" x14ac:dyDescent="0.35">
      <c r="A261" s="1">
        <v>45246</v>
      </c>
      <c r="B261" t="s">
        <v>19</v>
      </c>
      <c r="C261" t="s">
        <v>20</v>
      </c>
      <c r="D261">
        <v>8609753</v>
      </c>
      <c r="E261" t="s">
        <v>8</v>
      </c>
      <c r="F261">
        <v>46</v>
      </c>
    </row>
    <row r="262" spans="1:6" x14ac:dyDescent="0.35">
      <c r="A262" s="1">
        <v>45246</v>
      </c>
      <c r="B262" t="s">
        <v>9</v>
      </c>
      <c r="C262" t="s">
        <v>10</v>
      </c>
      <c r="D262">
        <v>13109310</v>
      </c>
      <c r="E262" t="s">
        <v>8</v>
      </c>
      <c r="F262">
        <v>46</v>
      </c>
    </row>
    <row r="263" spans="1:6" x14ac:dyDescent="0.35">
      <c r="A263" s="1">
        <v>45246</v>
      </c>
      <c r="B263" t="s">
        <v>13</v>
      </c>
      <c r="C263" t="s">
        <v>14</v>
      </c>
      <c r="D263">
        <v>8472546</v>
      </c>
      <c r="E263" t="s">
        <v>8</v>
      </c>
      <c r="F263">
        <v>46</v>
      </c>
    </row>
    <row r="264" spans="1:6" x14ac:dyDescent="0.35">
      <c r="A264" s="1">
        <v>45246</v>
      </c>
      <c r="B264" t="s">
        <v>15</v>
      </c>
      <c r="C264" t="s">
        <v>16</v>
      </c>
      <c r="D264">
        <v>8185135</v>
      </c>
      <c r="E264" t="s">
        <v>8</v>
      </c>
      <c r="F264">
        <v>46</v>
      </c>
    </row>
    <row r="265" spans="1:6" x14ac:dyDescent="0.35">
      <c r="A265" s="1">
        <v>45253</v>
      </c>
      <c r="B265" t="s">
        <v>6</v>
      </c>
      <c r="C265" t="s">
        <v>7</v>
      </c>
      <c r="D265">
        <v>21632325</v>
      </c>
      <c r="E265" t="s">
        <v>8</v>
      </c>
      <c r="F265">
        <v>47</v>
      </c>
    </row>
    <row r="266" spans="1:6" x14ac:dyDescent="0.35">
      <c r="A266" s="1">
        <v>45253</v>
      </c>
      <c r="B266" t="s">
        <v>11</v>
      </c>
      <c r="C266" t="s">
        <v>12</v>
      </c>
      <c r="D266">
        <v>10757784</v>
      </c>
      <c r="E266" t="s">
        <v>8</v>
      </c>
      <c r="F266">
        <v>47</v>
      </c>
    </row>
    <row r="267" spans="1:6" x14ac:dyDescent="0.35">
      <c r="A267" s="1">
        <v>45253</v>
      </c>
      <c r="B267" t="s">
        <v>19</v>
      </c>
      <c r="C267" t="s">
        <v>20</v>
      </c>
      <c r="D267">
        <v>13175644</v>
      </c>
      <c r="E267" t="s">
        <v>8</v>
      </c>
      <c r="F267">
        <v>47</v>
      </c>
    </row>
    <row r="268" spans="1:6" x14ac:dyDescent="0.35">
      <c r="A268" s="1">
        <v>45253</v>
      </c>
      <c r="B268" t="s">
        <v>9</v>
      </c>
      <c r="C268" t="s">
        <v>10</v>
      </c>
      <c r="D268">
        <v>19385469</v>
      </c>
      <c r="E268" t="s">
        <v>8</v>
      </c>
      <c r="F268">
        <v>47</v>
      </c>
    </row>
    <row r="269" spans="1:6" x14ac:dyDescent="0.35">
      <c r="A269" s="1">
        <v>45253</v>
      </c>
      <c r="B269" t="s">
        <v>13</v>
      </c>
      <c r="C269" t="s">
        <v>14</v>
      </c>
      <c r="D269">
        <v>15066957</v>
      </c>
      <c r="E269" t="s">
        <v>8</v>
      </c>
      <c r="F269">
        <v>47</v>
      </c>
    </row>
    <row r="270" spans="1:6" x14ac:dyDescent="0.35">
      <c r="A270" s="1">
        <v>45253</v>
      </c>
      <c r="B270" t="s">
        <v>15</v>
      </c>
      <c r="C270" t="s">
        <v>16</v>
      </c>
      <c r="D270">
        <v>11469200</v>
      </c>
      <c r="E270" t="s">
        <v>8</v>
      </c>
      <c r="F270">
        <v>47</v>
      </c>
    </row>
    <row r="271" spans="1:6" x14ac:dyDescent="0.35">
      <c r="A271" s="1">
        <v>45260</v>
      </c>
      <c r="B271" t="s">
        <v>6</v>
      </c>
      <c r="C271" t="s">
        <v>7</v>
      </c>
      <c r="D271">
        <v>33728604</v>
      </c>
      <c r="E271" t="s">
        <v>8</v>
      </c>
      <c r="F271">
        <v>48</v>
      </c>
    </row>
    <row r="272" spans="1:6" x14ac:dyDescent="0.35">
      <c r="A272" s="1">
        <v>45260</v>
      </c>
      <c r="B272" t="s">
        <v>17</v>
      </c>
      <c r="C272" t="s">
        <v>18</v>
      </c>
      <c r="D272">
        <v>12517113</v>
      </c>
      <c r="E272" t="s">
        <v>8</v>
      </c>
      <c r="F272">
        <v>48</v>
      </c>
    </row>
    <row r="273" spans="1:6" x14ac:dyDescent="0.35">
      <c r="A273" s="1">
        <v>45260</v>
      </c>
      <c r="B273" t="s">
        <v>11</v>
      </c>
      <c r="C273" t="s">
        <v>12</v>
      </c>
      <c r="D273">
        <v>18224117</v>
      </c>
      <c r="E273" t="s">
        <v>8</v>
      </c>
      <c r="F273">
        <v>48</v>
      </c>
    </row>
    <row r="274" spans="1:6" x14ac:dyDescent="0.35">
      <c r="A274" s="1">
        <v>45260</v>
      </c>
      <c r="B274" t="s">
        <v>19</v>
      </c>
      <c r="C274" t="s">
        <v>20</v>
      </c>
      <c r="D274">
        <v>22186368</v>
      </c>
      <c r="E274" t="s">
        <v>8</v>
      </c>
      <c r="F274">
        <v>48</v>
      </c>
    </row>
    <row r="275" spans="1:6" x14ac:dyDescent="0.35">
      <c r="A275" s="1">
        <v>45260</v>
      </c>
      <c r="B275" t="s">
        <v>9</v>
      </c>
      <c r="C275" t="s">
        <v>10</v>
      </c>
      <c r="D275">
        <v>30556258</v>
      </c>
      <c r="E275" t="s">
        <v>8</v>
      </c>
      <c r="F275">
        <v>48</v>
      </c>
    </row>
    <row r="276" spans="1:6" x14ac:dyDescent="0.35">
      <c r="A276" s="1">
        <v>45260</v>
      </c>
      <c r="B276" t="s">
        <v>13</v>
      </c>
      <c r="C276" t="s">
        <v>14</v>
      </c>
      <c r="D276">
        <v>26940388</v>
      </c>
      <c r="E276" t="s">
        <v>8</v>
      </c>
      <c r="F276">
        <v>48</v>
      </c>
    </row>
    <row r="277" spans="1:6" x14ac:dyDescent="0.35">
      <c r="A277" s="1">
        <v>45260</v>
      </c>
      <c r="B277" t="s">
        <v>15</v>
      </c>
      <c r="C277" t="s">
        <v>16</v>
      </c>
      <c r="D277">
        <v>18610534</v>
      </c>
      <c r="E277" t="s">
        <v>8</v>
      </c>
      <c r="F277">
        <v>48</v>
      </c>
    </row>
    <row r="278" spans="1:6" x14ac:dyDescent="0.35">
      <c r="A278" s="1">
        <v>45267</v>
      </c>
      <c r="B278" t="s">
        <v>6</v>
      </c>
      <c r="C278" t="s">
        <v>7</v>
      </c>
      <c r="D278">
        <v>48242745</v>
      </c>
      <c r="E278" t="s">
        <v>8</v>
      </c>
      <c r="F278">
        <v>49</v>
      </c>
    </row>
    <row r="279" spans="1:6" x14ac:dyDescent="0.35">
      <c r="A279" s="1">
        <v>45267</v>
      </c>
      <c r="B279" t="s">
        <v>17</v>
      </c>
      <c r="C279" t="s">
        <v>18</v>
      </c>
      <c r="D279">
        <v>20317400</v>
      </c>
      <c r="E279" t="s">
        <v>8</v>
      </c>
      <c r="F279">
        <v>49</v>
      </c>
    </row>
    <row r="280" spans="1:6" x14ac:dyDescent="0.35">
      <c r="A280" s="1">
        <v>45267</v>
      </c>
      <c r="B280" t="s">
        <v>11</v>
      </c>
      <c r="C280" t="s">
        <v>12</v>
      </c>
      <c r="D280">
        <v>27899303</v>
      </c>
      <c r="E280" t="s">
        <v>8</v>
      </c>
      <c r="F280">
        <v>49</v>
      </c>
    </row>
    <row r="281" spans="1:6" x14ac:dyDescent="0.35">
      <c r="A281" s="1">
        <v>45267</v>
      </c>
      <c r="B281" t="s">
        <v>19</v>
      </c>
      <c r="C281" t="s">
        <v>20</v>
      </c>
      <c r="D281">
        <v>33402002</v>
      </c>
      <c r="E281" t="s">
        <v>8</v>
      </c>
      <c r="F281">
        <v>49</v>
      </c>
    </row>
    <row r="282" spans="1:6" x14ac:dyDescent="0.35">
      <c r="A282" s="1">
        <v>45267</v>
      </c>
      <c r="B282" t="s">
        <v>9</v>
      </c>
      <c r="C282" t="s">
        <v>10</v>
      </c>
      <c r="D282">
        <v>44176139</v>
      </c>
      <c r="E282" t="s">
        <v>8</v>
      </c>
      <c r="F282">
        <v>49</v>
      </c>
    </row>
    <row r="283" spans="1:6" x14ac:dyDescent="0.35">
      <c r="A283" s="1">
        <v>45267</v>
      </c>
      <c r="B283" t="s">
        <v>13</v>
      </c>
      <c r="C283" t="s">
        <v>14</v>
      </c>
      <c r="D283">
        <v>38756976</v>
      </c>
      <c r="E283" t="s">
        <v>8</v>
      </c>
      <c r="F283">
        <v>49</v>
      </c>
    </row>
    <row r="284" spans="1:6" x14ac:dyDescent="0.35">
      <c r="A284" s="1">
        <v>45267</v>
      </c>
      <c r="B284" t="s">
        <v>15</v>
      </c>
      <c r="C284" t="s">
        <v>16</v>
      </c>
      <c r="D284">
        <v>29089107</v>
      </c>
      <c r="E284" t="s">
        <v>8</v>
      </c>
      <c r="F284">
        <v>49</v>
      </c>
    </row>
    <row r="285" spans="1:6" x14ac:dyDescent="0.35">
      <c r="A285" s="1">
        <v>45274</v>
      </c>
      <c r="B285" t="s">
        <v>6</v>
      </c>
      <c r="C285" t="s">
        <v>7</v>
      </c>
      <c r="D285">
        <v>47232471</v>
      </c>
      <c r="E285" t="s">
        <v>8</v>
      </c>
      <c r="F285">
        <v>50</v>
      </c>
    </row>
    <row r="286" spans="1:6" x14ac:dyDescent="0.35">
      <c r="A286" s="1">
        <v>45274</v>
      </c>
      <c r="B286" t="s">
        <v>17</v>
      </c>
      <c r="C286" t="s">
        <v>18</v>
      </c>
      <c r="D286">
        <v>20852799</v>
      </c>
      <c r="E286" t="s">
        <v>8</v>
      </c>
      <c r="F286">
        <v>50</v>
      </c>
    </row>
    <row r="287" spans="1:6" x14ac:dyDescent="0.35">
      <c r="A287" s="1">
        <v>45274</v>
      </c>
      <c r="B287" t="s">
        <v>11</v>
      </c>
      <c r="C287" t="s">
        <v>12</v>
      </c>
      <c r="D287">
        <v>27973507</v>
      </c>
      <c r="E287" t="s">
        <v>8</v>
      </c>
      <c r="F287">
        <v>50</v>
      </c>
    </row>
    <row r="288" spans="1:6" x14ac:dyDescent="0.35">
      <c r="A288" s="1">
        <v>45274</v>
      </c>
      <c r="B288" t="s">
        <v>19</v>
      </c>
      <c r="C288" t="s">
        <v>20</v>
      </c>
      <c r="D288">
        <v>30951467</v>
      </c>
      <c r="E288" t="s">
        <v>8</v>
      </c>
      <c r="F288">
        <v>50</v>
      </c>
    </row>
    <row r="289" spans="1:6" x14ac:dyDescent="0.35">
      <c r="A289" s="1">
        <v>45274</v>
      </c>
      <c r="B289" t="s">
        <v>9</v>
      </c>
      <c r="C289" t="s">
        <v>10</v>
      </c>
      <c r="D289">
        <v>43334690</v>
      </c>
      <c r="E289" t="s">
        <v>8</v>
      </c>
      <c r="F289">
        <v>50</v>
      </c>
    </row>
    <row r="290" spans="1:6" x14ac:dyDescent="0.35">
      <c r="A290" s="1">
        <v>45274</v>
      </c>
      <c r="B290" t="s">
        <v>13</v>
      </c>
      <c r="C290" t="s">
        <v>14</v>
      </c>
      <c r="D290">
        <v>37617587</v>
      </c>
      <c r="E290" t="s">
        <v>8</v>
      </c>
      <c r="F290">
        <v>50</v>
      </c>
    </row>
    <row r="291" spans="1:6" x14ac:dyDescent="0.35">
      <c r="A291" s="1">
        <v>45274</v>
      </c>
      <c r="B291" t="s">
        <v>15</v>
      </c>
      <c r="C291" t="s">
        <v>16</v>
      </c>
      <c r="D291">
        <v>29109961</v>
      </c>
      <c r="E291" t="s">
        <v>8</v>
      </c>
      <c r="F291">
        <v>50</v>
      </c>
    </row>
    <row r="292" spans="1:6" x14ac:dyDescent="0.35">
      <c r="A292" s="1">
        <v>45281</v>
      </c>
      <c r="B292" t="s">
        <v>6</v>
      </c>
      <c r="C292" t="s">
        <v>7</v>
      </c>
      <c r="D292">
        <v>53338897</v>
      </c>
      <c r="E292" t="s">
        <v>8</v>
      </c>
      <c r="F292">
        <v>51</v>
      </c>
    </row>
    <row r="293" spans="1:6" x14ac:dyDescent="0.35">
      <c r="A293" s="1">
        <v>45281</v>
      </c>
      <c r="B293" t="s">
        <v>17</v>
      </c>
      <c r="C293" t="s">
        <v>18</v>
      </c>
      <c r="D293">
        <v>24768891</v>
      </c>
      <c r="E293" t="s">
        <v>8</v>
      </c>
      <c r="F293">
        <v>51</v>
      </c>
    </row>
    <row r="294" spans="1:6" x14ac:dyDescent="0.35">
      <c r="A294" s="1">
        <v>45281</v>
      </c>
      <c r="B294" t="s">
        <v>11</v>
      </c>
      <c r="C294" t="s">
        <v>12</v>
      </c>
      <c r="D294">
        <v>31456354</v>
      </c>
      <c r="E294" t="s">
        <v>8</v>
      </c>
      <c r="F294">
        <v>51</v>
      </c>
    </row>
    <row r="295" spans="1:6" x14ac:dyDescent="0.35">
      <c r="A295" s="1">
        <v>45281</v>
      </c>
      <c r="B295" t="s">
        <v>19</v>
      </c>
      <c r="C295" t="s">
        <v>20</v>
      </c>
      <c r="D295">
        <v>35098833</v>
      </c>
      <c r="E295" t="s">
        <v>8</v>
      </c>
      <c r="F295">
        <v>51</v>
      </c>
    </row>
    <row r="296" spans="1:6" x14ac:dyDescent="0.35">
      <c r="A296" s="1">
        <v>45281</v>
      </c>
      <c r="B296" t="s">
        <v>9</v>
      </c>
      <c r="C296" t="s">
        <v>10</v>
      </c>
      <c r="D296">
        <v>49239617</v>
      </c>
      <c r="E296" t="s">
        <v>8</v>
      </c>
      <c r="F296">
        <v>51</v>
      </c>
    </row>
    <row r="297" spans="1:6" x14ac:dyDescent="0.35">
      <c r="A297" s="1">
        <v>45281</v>
      </c>
      <c r="B297" t="s">
        <v>13</v>
      </c>
      <c r="C297" t="s">
        <v>14</v>
      </c>
      <c r="D297">
        <v>44792976</v>
      </c>
      <c r="E297" t="s">
        <v>8</v>
      </c>
      <c r="F297">
        <v>51</v>
      </c>
    </row>
    <row r="298" spans="1:6" x14ac:dyDescent="0.35">
      <c r="A298" s="1">
        <v>45281</v>
      </c>
      <c r="B298" t="s">
        <v>15</v>
      </c>
      <c r="C298" t="s">
        <v>16</v>
      </c>
      <c r="D298">
        <v>33816577</v>
      </c>
      <c r="E298" t="s">
        <v>8</v>
      </c>
      <c r="F298">
        <v>51</v>
      </c>
    </row>
    <row r="299" spans="1:6" x14ac:dyDescent="0.35">
      <c r="A299" s="1">
        <v>45288</v>
      </c>
      <c r="B299" t="s">
        <v>6</v>
      </c>
      <c r="C299" t="s">
        <v>7</v>
      </c>
      <c r="D299">
        <v>75826005</v>
      </c>
      <c r="E299" t="s">
        <v>8</v>
      </c>
      <c r="F299">
        <v>52</v>
      </c>
    </row>
    <row r="300" spans="1:6" x14ac:dyDescent="0.35">
      <c r="A300" s="1">
        <v>45288</v>
      </c>
      <c r="B300" t="s">
        <v>17</v>
      </c>
      <c r="C300" t="s">
        <v>18</v>
      </c>
      <c r="D300">
        <v>39496130</v>
      </c>
      <c r="E300" t="s">
        <v>8</v>
      </c>
      <c r="F300">
        <v>52</v>
      </c>
    </row>
    <row r="301" spans="1:6" x14ac:dyDescent="0.35">
      <c r="A301" s="1">
        <v>45288</v>
      </c>
      <c r="B301" t="s">
        <v>11</v>
      </c>
      <c r="C301" t="s">
        <v>12</v>
      </c>
      <c r="D301">
        <v>44884310</v>
      </c>
      <c r="E301" t="s">
        <v>8</v>
      </c>
      <c r="F301">
        <v>52</v>
      </c>
    </row>
    <row r="302" spans="1:6" x14ac:dyDescent="0.35">
      <c r="A302" s="1">
        <v>45288</v>
      </c>
      <c r="B302" t="s">
        <v>19</v>
      </c>
      <c r="C302" t="s">
        <v>20</v>
      </c>
      <c r="D302">
        <v>51705845</v>
      </c>
      <c r="E302" t="s">
        <v>8</v>
      </c>
      <c r="F302">
        <v>52</v>
      </c>
    </row>
    <row r="303" spans="1:6" x14ac:dyDescent="0.35">
      <c r="A303" s="1">
        <v>45288</v>
      </c>
      <c r="B303" t="s">
        <v>9</v>
      </c>
      <c r="C303" t="s">
        <v>10</v>
      </c>
      <c r="D303">
        <v>71138282</v>
      </c>
      <c r="E303" t="s">
        <v>8</v>
      </c>
      <c r="F303">
        <v>52</v>
      </c>
    </row>
    <row r="304" spans="1:6" x14ac:dyDescent="0.35">
      <c r="A304" s="1">
        <v>45288</v>
      </c>
      <c r="B304" t="s">
        <v>13</v>
      </c>
      <c r="C304" t="s">
        <v>14</v>
      </c>
      <c r="D304">
        <v>62796483</v>
      </c>
      <c r="E304" t="s">
        <v>8</v>
      </c>
      <c r="F304">
        <v>52</v>
      </c>
    </row>
    <row r="305" spans="1:6" x14ac:dyDescent="0.35">
      <c r="A305" s="1">
        <v>45288</v>
      </c>
      <c r="B305" t="s">
        <v>15</v>
      </c>
      <c r="C305" t="s">
        <v>16</v>
      </c>
      <c r="D305">
        <v>48192239</v>
      </c>
      <c r="E305" t="s">
        <v>8</v>
      </c>
      <c r="F305">
        <v>52</v>
      </c>
    </row>
    <row r="306" spans="1:6" x14ac:dyDescent="0.35">
      <c r="A306" s="1">
        <v>45295</v>
      </c>
      <c r="B306" t="s">
        <v>9</v>
      </c>
      <c r="C306" t="s">
        <v>10</v>
      </c>
      <c r="D306">
        <v>7914063</v>
      </c>
      <c r="E306" t="s">
        <v>8</v>
      </c>
      <c r="F306">
        <v>1</v>
      </c>
    </row>
    <row r="307" spans="1:6" x14ac:dyDescent="0.35">
      <c r="A307" s="1">
        <v>45603</v>
      </c>
      <c r="B307" t="s">
        <v>6</v>
      </c>
      <c r="C307" t="s">
        <v>7</v>
      </c>
      <c r="D307">
        <v>11279139</v>
      </c>
      <c r="E307" t="s">
        <v>8</v>
      </c>
      <c r="F307">
        <v>45</v>
      </c>
    </row>
    <row r="308" spans="1:6" x14ac:dyDescent="0.35">
      <c r="A308" s="1">
        <v>45603</v>
      </c>
      <c r="B308" t="s">
        <v>9</v>
      </c>
      <c r="C308" t="s">
        <v>10</v>
      </c>
      <c r="D308">
        <v>9923635</v>
      </c>
      <c r="E308" t="s">
        <v>8</v>
      </c>
      <c r="F308">
        <v>45</v>
      </c>
    </row>
    <row r="309" spans="1:6" x14ac:dyDescent="0.35">
      <c r="A309" s="1">
        <v>45610</v>
      </c>
      <c r="B309" t="s">
        <v>6</v>
      </c>
      <c r="C309" t="s">
        <v>7</v>
      </c>
      <c r="D309">
        <v>14796703</v>
      </c>
      <c r="E309" t="s">
        <v>8</v>
      </c>
      <c r="F309">
        <v>46</v>
      </c>
    </row>
    <row r="310" spans="1:6" x14ac:dyDescent="0.35">
      <c r="A310" s="1">
        <v>45610</v>
      </c>
      <c r="B310" t="s">
        <v>19</v>
      </c>
      <c r="C310" t="s">
        <v>20</v>
      </c>
      <c r="D310">
        <v>8712411</v>
      </c>
      <c r="E310" t="s">
        <v>8</v>
      </c>
      <c r="F310">
        <v>46</v>
      </c>
    </row>
    <row r="311" spans="1:6" x14ac:dyDescent="0.35">
      <c r="A311" s="1">
        <v>45610</v>
      </c>
      <c r="B311" t="s">
        <v>9</v>
      </c>
      <c r="C311" t="s">
        <v>10</v>
      </c>
      <c r="D311">
        <v>13711333</v>
      </c>
      <c r="E311" t="s">
        <v>8</v>
      </c>
      <c r="F311">
        <v>46</v>
      </c>
    </row>
    <row r="312" spans="1:6" x14ac:dyDescent="0.35">
      <c r="A312" s="1">
        <v>45610</v>
      </c>
      <c r="B312" t="s">
        <v>13</v>
      </c>
      <c r="C312" t="s">
        <v>14</v>
      </c>
      <c r="D312">
        <v>9561847</v>
      </c>
      <c r="E312" t="s">
        <v>8</v>
      </c>
      <c r="F312">
        <v>46</v>
      </c>
    </row>
    <row r="313" spans="1:6" x14ac:dyDescent="0.35">
      <c r="A313" s="1">
        <v>45610</v>
      </c>
      <c r="B313" t="s">
        <v>15</v>
      </c>
      <c r="C313" t="s">
        <v>16</v>
      </c>
      <c r="D313">
        <v>8672931</v>
      </c>
      <c r="E313" t="s">
        <v>8</v>
      </c>
      <c r="F313">
        <v>46</v>
      </c>
    </row>
    <row r="314" spans="1:6" x14ac:dyDescent="0.35">
      <c r="A314" s="1">
        <v>45617</v>
      </c>
      <c r="B314" t="s">
        <v>6</v>
      </c>
      <c r="C314" t="s">
        <v>7</v>
      </c>
      <c r="D314">
        <v>21363813</v>
      </c>
      <c r="E314" t="s">
        <v>8</v>
      </c>
      <c r="F314">
        <v>47</v>
      </c>
    </row>
    <row r="315" spans="1:6" x14ac:dyDescent="0.35">
      <c r="A315" s="1">
        <v>45617</v>
      </c>
      <c r="B315" t="s">
        <v>11</v>
      </c>
      <c r="C315" t="s">
        <v>12</v>
      </c>
      <c r="D315">
        <v>9941240</v>
      </c>
      <c r="E315" t="s">
        <v>8</v>
      </c>
      <c r="F315">
        <v>47</v>
      </c>
    </row>
    <row r="316" spans="1:6" x14ac:dyDescent="0.35">
      <c r="A316" s="1">
        <v>45617</v>
      </c>
      <c r="B316" t="s">
        <v>19</v>
      </c>
      <c r="C316" t="s">
        <v>20</v>
      </c>
      <c r="D316">
        <v>13038832</v>
      </c>
      <c r="E316" t="s">
        <v>8</v>
      </c>
      <c r="F316">
        <v>47</v>
      </c>
    </row>
    <row r="317" spans="1:6" x14ac:dyDescent="0.35">
      <c r="A317" s="1">
        <v>45617</v>
      </c>
      <c r="B317" t="s">
        <v>9</v>
      </c>
      <c r="C317" t="s">
        <v>10</v>
      </c>
      <c r="D317">
        <v>19555376</v>
      </c>
      <c r="E317" t="s">
        <v>8</v>
      </c>
      <c r="F317">
        <v>47</v>
      </c>
    </row>
    <row r="318" spans="1:6" x14ac:dyDescent="0.35">
      <c r="A318" s="1">
        <v>45617</v>
      </c>
      <c r="B318" t="s">
        <v>13</v>
      </c>
      <c r="C318" t="s">
        <v>14</v>
      </c>
      <c r="D318">
        <v>14591689</v>
      </c>
      <c r="E318" t="s">
        <v>8</v>
      </c>
      <c r="F318">
        <v>47</v>
      </c>
    </row>
    <row r="319" spans="1:6" x14ac:dyDescent="0.35">
      <c r="A319" s="1">
        <v>45617</v>
      </c>
      <c r="B319" t="s">
        <v>15</v>
      </c>
      <c r="C319" t="s">
        <v>16</v>
      </c>
      <c r="D319">
        <v>12932270</v>
      </c>
      <c r="E319" t="s">
        <v>8</v>
      </c>
      <c r="F319">
        <v>47</v>
      </c>
    </row>
    <row r="320" spans="1:6" x14ac:dyDescent="0.35">
      <c r="A320" s="1">
        <v>45624</v>
      </c>
      <c r="B320" t="s">
        <v>6</v>
      </c>
      <c r="C320" t="s">
        <v>7</v>
      </c>
      <c r="D320">
        <v>28988715</v>
      </c>
      <c r="E320" t="s">
        <v>8</v>
      </c>
      <c r="F320">
        <v>48</v>
      </c>
    </row>
    <row r="321" spans="1:6" x14ac:dyDescent="0.35">
      <c r="A321" s="1">
        <v>45624</v>
      </c>
      <c r="B321" t="s">
        <v>17</v>
      </c>
      <c r="C321" t="s">
        <v>18</v>
      </c>
      <c r="D321">
        <v>11302691</v>
      </c>
      <c r="E321" t="s">
        <v>8</v>
      </c>
      <c r="F321">
        <v>48</v>
      </c>
    </row>
    <row r="322" spans="1:6" x14ac:dyDescent="0.35">
      <c r="A322" s="1">
        <v>45624</v>
      </c>
      <c r="B322" t="s">
        <v>11</v>
      </c>
      <c r="C322" t="s">
        <v>12</v>
      </c>
      <c r="D322">
        <v>14210678</v>
      </c>
      <c r="E322" t="s">
        <v>8</v>
      </c>
      <c r="F322">
        <v>48</v>
      </c>
    </row>
    <row r="323" spans="1:6" x14ac:dyDescent="0.35">
      <c r="A323" s="1">
        <v>45624</v>
      </c>
      <c r="B323" t="s">
        <v>19</v>
      </c>
      <c r="C323" t="s">
        <v>20</v>
      </c>
      <c r="D323">
        <v>18729517</v>
      </c>
      <c r="E323" t="s">
        <v>8</v>
      </c>
      <c r="F323">
        <v>48</v>
      </c>
    </row>
    <row r="324" spans="1:6" x14ac:dyDescent="0.35">
      <c r="A324" s="1">
        <v>45624</v>
      </c>
      <c r="B324" t="s">
        <v>9</v>
      </c>
      <c r="C324" t="s">
        <v>10</v>
      </c>
      <c r="D324">
        <v>26812906</v>
      </c>
      <c r="E324" t="s">
        <v>8</v>
      </c>
      <c r="F324">
        <v>48</v>
      </c>
    </row>
    <row r="325" spans="1:6" x14ac:dyDescent="0.35">
      <c r="A325" s="1">
        <v>45624</v>
      </c>
      <c r="B325" t="s">
        <v>13</v>
      </c>
      <c r="C325" t="s">
        <v>14</v>
      </c>
      <c r="D325">
        <v>21568493</v>
      </c>
      <c r="E325" t="s">
        <v>8</v>
      </c>
      <c r="F325">
        <v>48</v>
      </c>
    </row>
    <row r="326" spans="1:6" x14ac:dyDescent="0.35">
      <c r="A326" s="1">
        <v>45624</v>
      </c>
      <c r="B326" t="s">
        <v>15</v>
      </c>
      <c r="C326" t="s">
        <v>16</v>
      </c>
      <c r="D326">
        <v>18147498</v>
      </c>
      <c r="E326" t="s">
        <v>8</v>
      </c>
      <c r="F326">
        <v>48</v>
      </c>
    </row>
    <row r="327" spans="1:6" x14ac:dyDescent="0.35">
      <c r="A327" s="1">
        <v>45631</v>
      </c>
      <c r="B327" t="s">
        <v>6</v>
      </c>
      <c r="C327" t="s">
        <v>7</v>
      </c>
      <c r="D327">
        <v>44056478</v>
      </c>
      <c r="E327" t="s">
        <v>8</v>
      </c>
      <c r="F327">
        <v>49</v>
      </c>
    </row>
    <row r="328" spans="1:6" x14ac:dyDescent="0.35">
      <c r="A328" s="1">
        <v>45631</v>
      </c>
      <c r="B328" t="s">
        <v>17</v>
      </c>
      <c r="C328" t="s">
        <v>18</v>
      </c>
      <c r="D328">
        <v>19452273</v>
      </c>
      <c r="E328" t="s">
        <v>8</v>
      </c>
      <c r="F328">
        <v>49</v>
      </c>
    </row>
    <row r="329" spans="1:6" x14ac:dyDescent="0.35">
      <c r="A329" s="1">
        <v>45631</v>
      </c>
      <c r="B329" t="s">
        <v>11</v>
      </c>
      <c r="C329" t="s">
        <v>12</v>
      </c>
      <c r="D329">
        <v>22538475</v>
      </c>
      <c r="E329" t="s">
        <v>8</v>
      </c>
      <c r="F329">
        <v>49</v>
      </c>
    </row>
    <row r="330" spans="1:6" x14ac:dyDescent="0.35">
      <c r="A330" s="1">
        <v>45631</v>
      </c>
      <c r="B330" t="s">
        <v>19</v>
      </c>
      <c r="C330" t="s">
        <v>20</v>
      </c>
      <c r="D330">
        <v>30821472</v>
      </c>
      <c r="E330" t="s">
        <v>8</v>
      </c>
      <c r="F330">
        <v>49</v>
      </c>
    </row>
    <row r="331" spans="1:6" x14ac:dyDescent="0.35">
      <c r="A331" s="1">
        <v>45631</v>
      </c>
      <c r="B331" t="s">
        <v>9</v>
      </c>
      <c r="C331" t="s">
        <v>10</v>
      </c>
      <c r="D331">
        <v>43542785</v>
      </c>
      <c r="E331" t="s">
        <v>8</v>
      </c>
      <c r="F331">
        <v>49</v>
      </c>
    </row>
    <row r="332" spans="1:6" x14ac:dyDescent="0.35">
      <c r="A332" s="1">
        <v>45631</v>
      </c>
      <c r="B332" t="s">
        <v>13</v>
      </c>
      <c r="C332" t="s">
        <v>14</v>
      </c>
      <c r="D332">
        <v>36240442</v>
      </c>
      <c r="E332" t="s">
        <v>8</v>
      </c>
      <c r="F332">
        <v>49</v>
      </c>
    </row>
    <row r="333" spans="1:6" x14ac:dyDescent="0.35">
      <c r="A333" s="1">
        <v>45631</v>
      </c>
      <c r="B333" t="s">
        <v>15</v>
      </c>
      <c r="C333" t="s">
        <v>16</v>
      </c>
      <c r="D333">
        <v>28953248</v>
      </c>
      <c r="E333" t="s">
        <v>8</v>
      </c>
      <c r="F333">
        <v>49</v>
      </c>
    </row>
    <row r="334" spans="1:6" x14ac:dyDescent="0.35">
      <c r="A334" s="1">
        <v>45638</v>
      </c>
      <c r="B334" t="s">
        <v>6</v>
      </c>
      <c r="C334" t="s">
        <v>7</v>
      </c>
      <c r="D334">
        <v>47514211</v>
      </c>
      <c r="E334" t="s">
        <v>8</v>
      </c>
      <c r="F334">
        <v>50</v>
      </c>
    </row>
    <row r="335" spans="1:6" x14ac:dyDescent="0.35">
      <c r="A335" s="1">
        <v>45638</v>
      </c>
      <c r="B335" t="s">
        <v>17</v>
      </c>
      <c r="C335" t="s">
        <v>18</v>
      </c>
      <c r="D335">
        <v>21780383</v>
      </c>
      <c r="E335" t="s">
        <v>8</v>
      </c>
      <c r="F335">
        <v>50</v>
      </c>
    </row>
    <row r="336" spans="1:6" x14ac:dyDescent="0.35">
      <c r="A336" s="1">
        <v>45638</v>
      </c>
      <c r="B336" t="s">
        <v>11</v>
      </c>
      <c r="C336" t="s">
        <v>12</v>
      </c>
      <c r="D336">
        <v>24073016</v>
      </c>
      <c r="E336" t="s">
        <v>8</v>
      </c>
      <c r="F336">
        <v>50</v>
      </c>
    </row>
    <row r="337" spans="1:6" x14ac:dyDescent="0.35">
      <c r="A337" s="1">
        <v>45638</v>
      </c>
      <c r="B337" t="s">
        <v>19</v>
      </c>
      <c r="C337" t="s">
        <v>20</v>
      </c>
      <c r="D337">
        <v>36801037</v>
      </c>
      <c r="E337" t="s">
        <v>8</v>
      </c>
      <c r="F337">
        <v>50</v>
      </c>
    </row>
    <row r="338" spans="1:6" x14ac:dyDescent="0.35">
      <c r="A338" s="1">
        <v>45638</v>
      </c>
      <c r="B338" t="s">
        <v>9</v>
      </c>
      <c r="C338" t="s">
        <v>10</v>
      </c>
      <c r="D338">
        <v>46992149</v>
      </c>
      <c r="E338" t="s">
        <v>8</v>
      </c>
      <c r="F338">
        <v>50</v>
      </c>
    </row>
    <row r="339" spans="1:6" x14ac:dyDescent="0.35">
      <c r="A339" s="1">
        <v>45638</v>
      </c>
      <c r="B339" t="s">
        <v>13</v>
      </c>
      <c r="C339" t="s">
        <v>14</v>
      </c>
      <c r="D339">
        <v>40460504</v>
      </c>
      <c r="E339" t="s">
        <v>8</v>
      </c>
      <c r="F339">
        <v>50</v>
      </c>
    </row>
    <row r="340" spans="1:6" x14ac:dyDescent="0.35">
      <c r="A340" s="1">
        <v>45638</v>
      </c>
      <c r="B340" t="s">
        <v>15</v>
      </c>
      <c r="C340" t="s">
        <v>16</v>
      </c>
      <c r="D340">
        <v>31559275</v>
      </c>
      <c r="E340" t="s">
        <v>8</v>
      </c>
      <c r="F340">
        <v>50</v>
      </c>
    </row>
    <row r="341" spans="1:6" x14ac:dyDescent="0.35">
      <c r="A341" s="1">
        <v>45645</v>
      </c>
      <c r="B341" t="s">
        <v>6</v>
      </c>
      <c r="C341" t="s">
        <v>7</v>
      </c>
      <c r="D341">
        <v>51621732</v>
      </c>
      <c r="E341" t="s">
        <v>8</v>
      </c>
      <c r="F341">
        <v>51</v>
      </c>
    </row>
    <row r="342" spans="1:6" x14ac:dyDescent="0.35">
      <c r="A342" s="1">
        <v>45645</v>
      </c>
      <c r="B342" t="s">
        <v>17</v>
      </c>
      <c r="C342" t="s">
        <v>18</v>
      </c>
      <c r="D342">
        <v>25708186</v>
      </c>
      <c r="E342" t="s">
        <v>8</v>
      </c>
      <c r="F342">
        <v>51</v>
      </c>
    </row>
    <row r="343" spans="1:6" x14ac:dyDescent="0.35">
      <c r="A343" s="1">
        <v>45645</v>
      </c>
      <c r="B343" t="s">
        <v>11</v>
      </c>
      <c r="C343" t="s">
        <v>12</v>
      </c>
      <c r="D343">
        <v>26548915</v>
      </c>
      <c r="E343" t="s">
        <v>8</v>
      </c>
      <c r="F343">
        <v>51</v>
      </c>
    </row>
    <row r="344" spans="1:6" x14ac:dyDescent="0.35">
      <c r="A344" s="1">
        <v>45645</v>
      </c>
      <c r="B344" t="s">
        <v>19</v>
      </c>
      <c r="C344" t="s">
        <v>20</v>
      </c>
      <c r="D344">
        <v>41055176</v>
      </c>
      <c r="E344" t="s">
        <v>8</v>
      </c>
      <c r="F344">
        <v>51</v>
      </c>
    </row>
    <row r="345" spans="1:6" x14ac:dyDescent="0.35">
      <c r="A345" s="1">
        <v>45645</v>
      </c>
      <c r="B345" t="s">
        <v>9</v>
      </c>
      <c r="C345" t="s">
        <v>10</v>
      </c>
      <c r="D345">
        <v>50554131</v>
      </c>
      <c r="E345" t="s">
        <v>8</v>
      </c>
      <c r="F345">
        <v>51</v>
      </c>
    </row>
    <row r="346" spans="1:6" x14ac:dyDescent="0.35">
      <c r="A346" s="1">
        <v>45645</v>
      </c>
      <c r="B346" t="s">
        <v>13</v>
      </c>
      <c r="C346" t="s">
        <v>14</v>
      </c>
      <c r="D346">
        <v>44823735</v>
      </c>
      <c r="E346" t="s">
        <v>8</v>
      </c>
      <c r="F346">
        <v>51</v>
      </c>
    </row>
    <row r="347" spans="1:6" x14ac:dyDescent="0.35">
      <c r="A347" s="1">
        <v>45645</v>
      </c>
      <c r="B347" t="s">
        <v>15</v>
      </c>
      <c r="C347" t="s">
        <v>16</v>
      </c>
      <c r="D347">
        <v>34645959</v>
      </c>
      <c r="E347" t="s">
        <v>8</v>
      </c>
      <c r="F347">
        <v>51</v>
      </c>
    </row>
    <row r="348" spans="1:6" x14ac:dyDescent="0.35">
      <c r="A348" s="1">
        <v>45652</v>
      </c>
      <c r="B348" t="s">
        <v>6</v>
      </c>
      <c r="C348" t="s">
        <v>7</v>
      </c>
      <c r="D348">
        <v>92506541</v>
      </c>
      <c r="E348" t="s">
        <v>8</v>
      </c>
      <c r="F348">
        <v>52</v>
      </c>
    </row>
    <row r="349" spans="1:6" x14ac:dyDescent="0.35">
      <c r="A349" s="1">
        <v>45652</v>
      </c>
      <c r="B349" t="s">
        <v>17</v>
      </c>
      <c r="C349" t="s">
        <v>18</v>
      </c>
      <c r="D349">
        <v>48740674</v>
      </c>
      <c r="E349" t="s">
        <v>8</v>
      </c>
      <c r="F349">
        <v>52</v>
      </c>
    </row>
    <row r="350" spans="1:6" x14ac:dyDescent="0.35">
      <c r="A350" s="1">
        <v>45652</v>
      </c>
      <c r="B350" t="s">
        <v>11</v>
      </c>
      <c r="C350" t="s">
        <v>12</v>
      </c>
      <c r="D350">
        <v>47360169</v>
      </c>
      <c r="E350" t="s">
        <v>8</v>
      </c>
      <c r="F350">
        <v>52</v>
      </c>
    </row>
    <row r="351" spans="1:6" x14ac:dyDescent="0.35">
      <c r="A351" s="1">
        <v>45652</v>
      </c>
      <c r="B351" t="s">
        <v>19</v>
      </c>
      <c r="C351" t="s">
        <v>20</v>
      </c>
      <c r="D351">
        <v>72625966</v>
      </c>
      <c r="E351" t="s">
        <v>8</v>
      </c>
      <c r="F351">
        <v>52</v>
      </c>
    </row>
    <row r="352" spans="1:6" x14ac:dyDescent="0.35">
      <c r="A352" s="1">
        <v>45652</v>
      </c>
      <c r="B352" t="s">
        <v>9</v>
      </c>
      <c r="C352" t="s">
        <v>10</v>
      </c>
      <c r="D352">
        <v>91090914</v>
      </c>
      <c r="E352" t="s">
        <v>8</v>
      </c>
      <c r="F352">
        <v>52</v>
      </c>
    </row>
    <row r="353" spans="1:6" x14ac:dyDescent="0.35">
      <c r="A353" s="1">
        <v>45652</v>
      </c>
      <c r="B353" t="s">
        <v>13</v>
      </c>
      <c r="C353" t="s">
        <v>14</v>
      </c>
      <c r="D353">
        <v>82406485</v>
      </c>
      <c r="E353" t="s">
        <v>8</v>
      </c>
      <c r="F353">
        <v>52</v>
      </c>
    </row>
    <row r="354" spans="1:6" x14ac:dyDescent="0.35">
      <c r="A354" s="1">
        <v>45652</v>
      </c>
      <c r="B354" t="s">
        <v>15</v>
      </c>
      <c r="C354" t="s">
        <v>16</v>
      </c>
      <c r="D354">
        <v>60264421</v>
      </c>
      <c r="E354" t="s">
        <v>8</v>
      </c>
      <c r="F354">
        <v>52</v>
      </c>
    </row>
    <row r="355" spans="1:6" x14ac:dyDescent="0.35">
      <c r="A355" s="1">
        <v>45659</v>
      </c>
      <c r="B355" t="s">
        <v>6</v>
      </c>
      <c r="C355" t="s">
        <v>7</v>
      </c>
      <c r="D355">
        <v>11199904</v>
      </c>
      <c r="E355" t="s">
        <v>8</v>
      </c>
      <c r="F355">
        <v>1</v>
      </c>
    </row>
    <row r="356" spans="1:6" x14ac:dyDescent="0.35">
      <c r="A356" s="1">
        <v>45659</v>
      </c>
      <c r="B356" t="s">
        <v>9</v>
      </c>
      <c r="C356" t="s">
        <v>10</v>
      </c>
      <c r="D356">
        <v>11565422</v>
      </c>
      <c r="E356" t="s">
        <v>8</v>
      </c>
      <c r="F356">
        <v>1</v>
      </c>
    </row>
    <row r="357" spans="1:6" x14ac:dyDescent="0.35">
      <c r="A357" s="1">
        <v>45659</v>
      </c>
      <c r="B357" t="s">
        <v>13</v>
      </c>
      <c r="C357" t="s">
        <v>14</v>
      </c>
      <c r="D357">
        <v>8533518</v>
      </c>
      <c r="E357" t="s">
        <v>8</v>
      </c>
      <c r="F357">
        <v>1</v>
      </c>
    </row>
    <row r="358" spans="1:6" x14ac:dyDescent="0.35">
      <c r="A358" s="1">
        <v>45967</v>
      </c>
      <c r="B358" t="s">
        <v>6</v>
      </c>
      <c r="C358" t="s">
        <v>7</v>
      </c>
      <c r="D358">
        <v>10679069</v>
      </c>
      <c r="E358" t="s">
        <v>8</v>
      </c>
      <c r="F358">
        <v>45</v>
      </c>
    </row>
    <row r="359" spans="1:6" x14ac:dyDescent="0.35">
      <c r="A359" s="1">
        <v>45967</v>
      </c>
      <c r="B359" t="s">
        <v>9</v>
      </c>
      <c r="C359" t="s">
        <v>10</v>
      </c>
      <c r="D359">
        <v>8776792</v>
      </c>
      <c r="E359" t="s">
        <v>8</v>
      </c>
      <c r="F359">
        <v>45</v>
      </c>
    </row>
    <row r="360" spans="1:6" x14ac:dyDescent="0.35">
      <c r="A360" s="1">
        <v>45974</v>
      </c>
      <c r="B360" t="s">
        <v>6</v>
      </c>
      <c r="C360" t="s">
        <v>7</v>
      </c>
      <c r="D360">
        <v>14176619</v>
      </c>
      <c r="E360" t="s">
        <v>8</v>
      </c>
      <c r="F360">
        <v>46</v>
      </c>
    </row>
    <row r="361" spans="1:6" x14ac:dyDescent="0.35">
      <c r="A361" s="1">
        <v>45974</v>
      </c>
      <c r="B361" t="s">
        <v>19</v>
      </c>
      <c r="C361" t="s">
        <v>20</v>
      </c>
      <c r="D361">
        <v>8905332</v>
      </c>
      <c r="E361" t="s">
        <v>8</v>
      </c>
      <c r="F361">
        <v>46</v>
      </c>
    </row>
    <row r="362" spans="1:6" x14ac:dyDescent="0.35">
      <c r="A362" s="1">
        <v>45974</v>
      </c>
      <c r="B362" t="s">
        <v>9</v>
      </c>
      <c r="C362" t="s">
        <v>10</v>
      </c>
      <c r="D362">
        <v>12541769</v>
      </c>
      <c r="E362" t="s">
        <v>8</v>
      </c>
      <c r="F362">
        <v>46</v>
      </c>
    </row>
    <row r="363" spans="1:6" x14ac:dyDescent="0.35">
      <c r="A363" s="1">
        <v>45974</v>
      </c>
      <c r="B363" t="s">
        <v>13</v>
      </c>
      <c r="C363" t="s">
        <v>14</v>
      </c>
      <c r="D363">
        <v>9897609</v>
      </c>
      <c r="E363" t="s">
        <v>8</v>
      </c>
      <c r="F363">
        <v>46</v>
      </c>
    </row>
    <row r="364" spans="1:6" x14ac:dyDescent="0.35">
      <c r="A364" s="1">
        <v>45974</v>
      </c>
      <c r="B364" t="s">
        <v>15</v>
      </c>
      <c r="C364" t="s">
        <v>16</v>
      </c>
      <c r="D364">
        <v>9083220</v>
      </c>
      <c r="E364" t="s">
        <v>8</v>
      </c>
      <c r="F364">
        <v>46</v>
      </c>
    </row>
    <row r="365" spans="1:6" x14ac:dyDescent="0.35">
      <c r="A365" s="1">
        <v>45981</v>
      </c>
      <c r="B365" t="s">
        <v>6</v>
      </c>
      <c r="C365" t="s">
        <v>7</v>
      </c>
      <c r="D365">
        <v>17855568</v>
      </c>
      <c r="E365" t="s">
        <v>8</v>
      </c>
      <c r="F365">
        <v>47</v>
      </c>
    </row>
    <row r="366" spans="1:6" x14ac:dyDescent="0.35">
      <c r="A366" s="1">
        <v>45981</v>
      </c>
      <c r="B366" t="s">
        <v>11</v>
      </c>
      <c r="C366" t="s">
        <v>12</v>
      </c>
      <c r="D366">
        <v>9133205</v>
      </c>
      <c r="E366" t="s">
        <v>8</v>
      </c>
      <c r="F366">
        <v>47</v>
      </c>
    </row>
    <row r="367" spans="1:6" x14ac:dyDescent="0.35">
      <c r="A367" s="1">
        <v>45981</v>
      </c>
      <c r="B367" t="s">
        <v>19</v>
      </c>
      <c r="C367" t="s">
        <v>20</v>
      </c>
      <c r="D367">
        <v>12045395</v>
      </c>
      <c r="E367" t="s">
        <v>8</v>
      </c>
      <c r="F367">
        <v>47</v>
      </c>
    </row>
    <row r="368" spans="1:6" x14ac:dyDescent="0.35">
      <c r="A368" s="1">
        <v>45981</v>
      </c>
      <c r="B368" t="s">
        <v>9</v>
      </c>
      <c r="C368" t="s">
        <v>10</v>
      </c>
      <c r="D368">
        <v>16382300</v>
      </c>
      <c r="E368" t="s">
        <v>8</v>
      </c>
      <c r="F368">
        <v>47</v>
      </c>
    </row>
    <row r="369" spans="1:6" x14ac:dyDescent="0.35">
      <c r="A369" s="1">
        <v>45981</v>
      </c>
      <c r="B369" t="s">
        <v>13</v>
      </c>
      <c r="C369" t="s">
        <v>14</v>
      </c>
      <c r="D369">
        <v>12912321</v>
      </c>
      <c r="E369" t="s">
        <v>8</v>
      </c>
      <c r="F369">
        <v>47</v>
      </c>
    </row>
    <row r="370" spans="1:6" x14ac:dyDescent="0.35">
      <c r="A370" s="1">
        <v>45981</v>
      </c>
      <c r="B370" t="s">
        <v>15</v>
      </c>
      <c r="C370" t="s">
        <v>16</v>
      </c>
      <c r="D370">
        <v>11651103</v>
      </c>
      <c r="E370" t="s">
        <v>8</v>
      </c>
      <c r="F370">
        <v>47</v>
      </c>
    </row>
    <row r="371" spans="1:6" x14ac:dyDescent="0.35">
      <c r="A371" s="1">
        <v>45988</v>
      </c>
      <c r="B371" t="s">
        <v>6</v>
      </c>
      <c r="C371" t="s">
        <v>7</v>
      </c>
      <c r="D371">
        <v>25566111</v>
      </c>
      <c r="E371" t="s">
        <v>8</v>
      </c>
      <c r="F371">
        <v>48</v>
      </c>
    </row>
    <row r="372" spans="1:6" x14ac:dyDescent="0.35">
      <c r="A372" s="1">
        <v>45988</v>
      </c>
      <c r="B372" t="s">
        <v>17</v>
      </c>
      <c r="C372" t="s">
        <v>18</v>
      </c>
      <c r="D372">
        <v>9869378</v>
      </c>
      <c r="E372" t="s">
        <v>8</v>
      </c>
      <c r="F372">
        <v>48</v>
      </c>
    </row>
    <row r="373" spans="1:6" x14ac:dyDescent="0.35">
      <c r="A373" s="1">
        <v>45988</v>
      </c>
      <c r="B373" t="s">
        <v>11</v>
      </c>
      <c r="C373" t="s">
        <v>12</v>
      </c>
      <c r="D373">
        <v>13273043</v>
      </c>
      <c r="E373" t="s">
        <v>8</v>
      </c>
      <c r="F373">
        <v>48</v>
      </c>
    </row>
    <row r="374" spans="1:6" x14ac:dyDescent="0.35">
      <c r="A374" s="1">
        <v>45988</v>
      </c>
      <c r="B374" t="s">
        <v>19</v>
      </c>
      <c r="C374" t="s">
        <v>20</v>
      </c>
      <c r="D374">
        <v>17216703</v>
      </c>
      <c r="E374" t="s">
        <v>8</v>
      </c>
      <c r="F374">
        <v>48</v>
      </c>
    </row>
    <row r="375" spans="1:6" x14ac:dyDescent="0.35">
      <c r="A375" s="1">
        <v>45988</v>
      </c>
      <c r="B375" t="s">
        <v>9</v>
      </c>
      <c r="C375" t="s">
        <v>10</v>
      </c>
      <c r="D375">
        <v>23091279</v>
      </c>
      <c r="E375" t="s">
        <v>8</v>
      </c>
      <c r="F375">
        <v>48</v>
      </c>
    </row>
    <row r="376" spans="1:6" x14ac:dyDescent="0.35">
      <c r="A376" s="1">
        <v>45988</v>
      </c>
      <c r="B376" t="s">
        <v>13</v>
      </c>
      <c r="C376" t="s">
        <v>14</v>
      </c>
      <c r="D376">
        <v>19251893</v>
      </c>
      <c r="E376" t="s">
        <v>8</v>
      </c>
      <c r="F376">
        <v>48</v>
      </c>
    </row>
    <row r="377" spans="1:6" x14ac:dyDescent="0.35">
      <c r="A377" s="1">
        <v>45988</v>
      </c>
      <c r="B377" t="s">
        <v>15</v>
      </c>
      <c r="C377" t="s">
        <v>16</v>
      </c>
      <c r="D377">
        <v>16838299</v>
      </c>
      <c r="E377" t="s">
        <v>8</v>
      </c>
      <c r="F377">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7748-7D2B-48BD-82F4-09416BF4F459}">
  <sheetPr>
    <tabColor rgb="FFFFFF99"/>
  </sheetPr>
  <dimension ref="A2:F378"/>
  <sheetViews>
    <sheetView topLeftCell="A361" workbookViewId="0">
      <selection activeCell="N378" sqref="N378"/>
    </sheetView>
  </sheetViews>
  <sheetFormatPr defaultRowHeight="14.5" x14ac:dyDescent="0.35"/>
  <cols>
    <col min="1" max="1" width="10.36328125" customWidth="1"/>
    <col min="2" max="2" width="34.90625" customWidth="1"/>
    <col min="3" max="3" width="16" customWidth="1"/>
    <col min="4" max="4" width="11.81640625" customWidth="1"/>
    <col min="5" max="5" width="13" customWidth="1"/>
    <col min="6" max="6" width="13.6328125" customWidth="1"/>
  </cols>
  <sheetData>
    <row r="2" spans="1:6" x14ac:dyDescent="0.35">
      <c r="A2" s="11" t="s">
        <v>0</v>
      </c>
      <c r="B2" s="3" t="s">
        <v>1</v>
      </c>
      <c r="C2" s="3" t="s">
        <v>2</v>
      </c>
      <c r="D2" s="8" t="s">
        <v>3</v>
      </c>
      <c r="E2" s="3" t="s">
        <v>4</v>
      </c>
      <c r="F2" s="5" t="s">
        <v>5</v>
      </c>
    </row>
    <row r="3" spans="1:6" x14ac:dyDescent="0.35">
      <c r="A3" s="12">
        <v>43055</v>
      </c>
      <c r="B3" s="2" t="s">
        <v>6</v>
      </c>
      <c r="C3" s="2" t="s">
        <v>7</v>
      </c>
      <c r="D3" s="9">
        <v>3821572</v>
      </c>
      <c r="E3" s="2" t="s">
        <v>8</v>
      </c>
      <c r="F3" s="6">
        <v>46</v>
      </c>
    </row>
    <row r="4" spans="1:6" x14ac:dyDescent="0.35">
      <c r="A4" s="12">
        <v>43062</v>
      </c>
      <c r="B4" s="2" t="s">
        <v>6</v>
      </c>
      <c r="C4" s="2" t="s">
        <v>7</v>
      </c>
      <c r="D4" s="9">
        <v>6130250</v>
      </c>
      <c r="E4" s="2" t="s">
        <v>8</v>
      </c>
      <c r="F4" s="6">
        <v>47</v>
      </c>
    </row>
    <row r="5" spans="1:6" x14ac:dyDescent="0.35">
      <c r="A5" s="12">
        <v>43062</v>
      </c>
      <c r="B5" s="2" t="s">
        <v>9</v>
      </c>
      <c r="C5" s="2" t="s">
        <v>10</v>
      </c>
      <c r="D5" s="9">
        <v>4040197</v>
      </c>
      <c r="E5" s="2" t="s">
        <v>8</v>
      </c>
      <c r="F5" s="6">
        <v>47</v>
      </c>
    </row>
    <row r="6" spans="1:6" x14ac:dyDescent="0.35">
      <c r="A6" s="12">
        <v>43069</v>
      </c>
      <c r="B6" s="2" t="s">
        <v>6</v>
      </c>
      <c r="C6" s="2" t="s">
        <v>7</v>
      </c>
      <c r="D6" s="9">
        <v>11641888</v>
      </c>
      <c r="E6" s="2" t="s">
        <v>8</v>
      </c>
      <c r="F6" s="6">
        <v>48</v>
      </c>
    </row>
    <row r="7" spans="1:6" x14ac:dyDescent="0.35">
      <c r="A7" s="12">
        <v>43069</v>
      </c>
      <c r="B7" s="2" t="s">
        <v>11</v>
      </c>
      <c r="C7" s="2" t="s">
        <v>12</v>
      </c>
      <c r="D7" s="9">
        <v>4577042</v>
      </c>
      <c r="E7" s="2" t="s">
        <v>8</v>
      </c>
      <c r="F7" s="6">
        <v>48</v>
      </c>
    </row>
    <row r="8" spans="1:6" x14ac:dyDescent="0.35">
      <c r="A8" s="12">
        <v>43069</v>
      </c>
      <c r="B8" s="2" t="s">
        <v>9</v>
      </c>
      <c r="C8" s="2" t="s">
        <v>10</v>
      </c>
      <c r="D8" s="9">
        <v>7133652</v>
      </c>
      <c r="E8" s="2" t="s">
        <v>8</v>
      </c>
      <c r="F8" s="6">
        <v>48</v>
      </c>
    </row>
    <row r="9" spans="1:6" x14ac:dyDescent="0.35">
      <c r="A9" s="12">
        <v>43069</v>
      </c>
      <c r="B9" s="2" t="s">
        <v>13</v>
      </c>
      <c r="C9" s="2" t="s">
        <v>14</v>
      </c>
      <c r="D9" s="9">
        <v>4423222</v>
      </c>
      <c r="E9" s="2" t="s">
        <v>8</v>
      </c>
      <c r="F9" s="6">
        <v>48</v>
      </c>
    </row>
    <row r="10" spans="1:6" x14ac:dyDescent="0.35">
      <c r="A10" s="12">
        <v>43069</v>
      </c>
      <c r="B10" s="2" t="s">
        <v>15</v>
      </c>
      <c r="C10" s="2" t="s">
        <v>16</v>
      </c>
      <c r="D10" s="9">
        <v>4221612</v>
      </c>
      <c r="E10" s="2" t="s">
        <v>8</v>
      </c>
      <c r="F10" s="6">
        <v>48</v>
      </c>
    </row>
    <row r="11" spans="1:6" x14ac:dyDescent="0.35">
      <c r="A11" s="12">
        <v>43076</v>
      </c>
      <c r="B11" s="2" t="s">
        <v>6</v>
      </c>
      <c r="C11" s="2" t="s">
        <v>7</v>
      </c>
      <c r="D11" s="9">
        <v>19808428</v>
      </c>
      <c r="E11" s="2" t="s">
        <v>8</v>
      </c>
      <c r="F11" s="6">
        <v>49</v>
      </c>
    </row>
    <row r="12" spans="1:6" x14ac:dyDescent="0.35">
      <c r="A12" s="12">
        <v>43076</v>
      </c>
      <c r="B12" s="2" t="s">
        <v>17</v>
      </c>
      <c r="C12" s="2" t="s">
        <v>18</v>
      </c>
      <c r="D12" s="9">
        <v>4780300</v>
      </c>
      <c r="E12" s="2" t="s">
        <v>8</v>
      </c>
      <c r="F12" s="6">
        <v>49</v>
      </c>
    </row>
    <row r="13" spans="1:6" x14ac:dyDescent="0.35">
      <c r="A13" s="12">
        <v>43076</v>
      </c>
      <c r="B13" s="2" t="s">
        <v>11</v>
      </c>
      <c r="C13" s="2" t="s">
        <v>12</v>
      </c>
      <c r="D13" s="9">
        <v>8172327</v>
      </c>
      <c r="E13" s="2" t="s">
        <v>8</v>
      </c>
      <c r="F13" s="6">
        <v>49</v>
      </c>
    </row>
    <row r="14" spans="1:6" x14ac:dyDescent="0.35">
      <c r="A14" s="12">
        <v>43076</v>
      </c>
      <c r="B14" s="2" t="s">
        <v>9</v>
      </c>
      <c r="C14" s="2" t="s">
        <v>10</v>
      </c>
      <c r="D14" s="9">
        <v>13594807</v>
      </c>
      <c r="E14" s="2" t="s">
        <v>8</v>
      </c>
      <c r="F14" s="6">
        <v>49</v>
      </c>
    </row>
    <row r="15" spans="1:6" x14ac:dyDescent="0.35">
      <c r="A15" s="12">
        <v>43076</v>
      </c>
      <c r="B15" s="2" t="s">
        <v>13</v>
      </c>
      <c r="C15" s="2" t="s">
        <v>14</v>
      </c>
      <c r="D15" s="9">
        <v>6903809</v>
      </c>
      <c r="E15" s="2" t="s">
        <v>8</v>
      </c>
      <c r="F15" s="6">
        <v>49</v>
      </c>
    </row>
    <row r="16" spans="1:6" x14ac:dyDescent="0.35">
      <c r="A16" s="12">
        <v>43076</v>
      </c>
      <c r="B16" s="2" t="s">
        <v>15</v>
      </c>
      <c r="C16" s="2" t="s">
        <v>16</v>
      </c>
      <c r="D16" s="9">
        <v>7521462</v>
      </c>
      <c r="E16" s="2" t="s">
        <v>8</v>
      </c>
      <c r="F16" s="6">
        <v>49</v>
      </c>
    </row>
    <row r="17" spans="1:6" x14ac:dyDescent="0.35">
      <c r="A17" s="12">
        <v>43083</v>
      </c>
      <c r="B17" s="2" t="s">
        <v>6</v>
      </c>
      <c r="C17" s="2" t="s">
        <v>7</v>
      </c>
      <c r="D17" s="9">
        <v>21535828</v>
      </c>
      <c r="E17" s="2" t="s">
        <v>8</v>
      </c>
      <c r="F17" s="6">
        <v>50</v>
      </c>
    </row>
    <row r="18" spans="1:6" x14ac:dyDescent="0.35">
      <c r="A18" s="12">
        <v>43083</v>
      </c>
      <c r="B18" s="2" t="s">
        <v>17</v>
      </c>
      <c r="C18" s="2" t="s">
        <v>18</v>
      </c>
      <c r="D18" s="9">
        <v>5436759</v>
      </c>
      <c r="E18" s="2" t="s">
        <v>8</v>
      </c>
      <c r="F18" s="6">
        <v>50</v>
      </c>
    </row>
    <row r="19" spans="1:6" x14ac:dyDescent="0.35">
      <c r="A19" s="12">
        <v>43083</v>
      </c>
      <c r="B19" s="2" t="s">
        <v>11</v>
      </c>
      <c r="C19" s="2" t="s">
        <v>12</v>
      </c>
      <c r="D19" s="9">
        <v>9148642</v>
      </c>
      <c r="E19" s="2" t="s">
        <v>8</v>
      </c>
      <c r="F19" s="6">
        <v>50</v>
      </c>
    </row>
    <row r="20" spans="1:6" x14ac:dyDescent="0.35">
      <c r="A20" s="12">
        <v>43083</v>
      </c>
      <c r="B20" s="2" t="s">
        <v>9</v>
      </c>
      <c r="C20" s="2" t="s">
        <v>10</v>
      </c>
      <c r="D20" s="9">
        <v>14990547</v>
      </c>
      <c r="E20" s="2" t="s">
        <v>8</v>
      </c>
      <c r="F20" s="6">
        <v>50</v>
      </c>
    </row>
    <row r="21" spans="1:6" x14ac:dyDescent="0.35">
      <c r="A21" s="12">
        <v>43083</v>
      </c>
      <c r="B21" s="2" t="s">
        <v>13</v>
      </c>
      <c r="C21" s="2" t="s">
        <v>14</v>
      </c>
      <c r="D21" s="9">
        <v>7888911</v>
      </c>
      <c r="E21" s="2" t="s">
        <v>8</v>
      </c>
      <c r="F21" s="6">
        <v>50</v>
      </c>
    </row>
    <row r="22" spans="1:6" x14ac:dyDescent="0.35">
      <c r="A22" s="12">
        <v>43083</v>
      </c>
      <c r="B22" s="2" t="s">
        <v>15</v>
      </c>
      <c r="C22" s="2" t="s">
        <v>16</v>
      </c>
      <c r="D22" s="9">
        <v>8590324</v>
      </c>
      <c r="E22" s="2" t="s">
        <v>8</v>
      </c>
      <c r="F22" s="6">
        <v>50</v>
      </c>
    </row>
    <row r="23" spans="1:6" x14ac:dyDescent="0.35">
      <c r="A23" s="12">
        <v>43090</v>
      </c>
      <c r="B23" s="2" t="s">
        <v>6</v>
      </c>
      <c r="C23" s="2" t="s">
        <v>7</v>
      </c>
      <c r="D23" s="9">
        <v>23318198</v>
      </c>
      <c r="E23" s="2" t="s">
        <v>8</v>
      </c>
      <c r="F23" s="6">
        <v>51</v>
      </c>
    </row>
    <row r="24" spans="1:6" x14ac:dyDescent="0.35">
      <c r="A24" s="12">
        <v>43090</v>
      </c>
      <c r="B24" s="2" t="s">
        <v>17</v>
      </c>
      <c r="C24" s="2" t="s">
        <v>18</v>
      </c>
      <c r="D24" s="9">
        <v>6030397</v>
      </c>
      <c r="E24" s="2" t="s">
        <v>8</v>
      </c>
      <c r="F24" s="6">
        <v>51</v>
      </c>
    </row>
    <row r="25" spans="1:6" x14ac:dyDescent="0.35">
      <c r="A25" s="12">
        <v>43090</v>
      </c>
      <c r="B25" s="2" t="s">
        <v>11</v>
      </c>
      <c r="C25" s="2" t="s">
        <v>12</v>
      </c>
      <c r="D25" s="9">
        <v>10104650</v>
      </c>
      <c r="E25" s="2" t="s">
        <v>8</v>
      </c>
      <c r="F25" s="6">
        <v>51</v>
      </c>
    </row>
    <row r="26" spans="1:6" x14ac:dyDescent="0.35">
      <c r="A26" s="12">
        <v>43090</v>
      </c>
      <c r="B26" s="2" t="s">
        <v>19</v>
      </c>
      <c r="C26" s="2" t="s">
        <v>20</v>
      </c>
      <c r="D26" s="9">
        <v>6469998</v>
      </c>
      <c r="E26" s="2" t="s">
        <v>8</v>
      </c>
      <c r="F26" s="6">
        <v>51</v>
      </c>
    </row>
    <row r="27" spans="1:6" x14ac:dyDescent="0.35">
      <c r="A27" s="12">
        <v>43090</v>
      </c>
      <c r="B27" s="2" t="s">
        <v>9</v>
      </c>
      <c r="C27" s="2" t="s">
        <v>10</v>
      </c>
      <c r="D27" s="9">
        <v>16218650</v>
      </c>
      <c r="E27" s="2" t="s">
        <v>8</v>
      </c>
      <c r="F27" s="6">
        <v>51</v>
      </c>
    </row>
    <row r="28" spans="1:6" x14ac:dyDescent="0.35">
      <c r="A28" s="12">
        <v>43090</v>
      </c>
      <c r="B28" s="2" t="s">
        <v>13</v>
      </c>
      <c r="C28" s="2" t="s">
        <v>14</v>
      </c>
      <c r="D28" s="9">
        <v>8760279</v>
      </c>
      <c r="E28" s="2" t="s">
        <v>8</v>
      </c>
      <c r="F28" s="6">
        <v>51</v>
      </c>
    </row>
    <row r="29" spans="1:6" x14ac:dyDescent="0.35">
      <c r="A29" s="12">
        <v>43090</v>
      </c>
      <c r="B29" s="2" t="s">
        <v>15</v>
      </c>
      <c r="C29" s="2" t="s">
        <v>16</v>
      </c>
      <c r="D29" s="9">
        <v>8712246</v>
      </c>
      <c r="E29" s="2" t="s">
        <v>8</v>
      </c>
      <c r="F29" s="6">
        <v>51</v>
      </c>
    </row>
    <row r="30" spans="1:6" x14ac:dyDescent="0.35">
      <c r="A30" s="12">
        <v>43097</v>
      </c>
      <c r="B30" s="2" t="s">
        <v>6</v>
      </c>
      <c r="C30" s="2" t="s">
        <v>7</v>
      </c>
      <c r="D30" s="9">
        <v>27628914</v>
      </c>
      <c r="E30" s="2" t="s">
        <v>8</v>
      </c>
      <c r="F30" s="6">
        <v>52</v>
      </c>
    </row>
    <row r="31" spans="1:6" x14ac:dyDescent="0.35">
      <c r="A31" s="12">
        <v>43097</v>
      </c>
      <c r="B31" s="2" t="s">
        <v>17</v>
      </c>
      <c r="C31" s="2" t="s">
        <v>18</v>
      </c>
      <c r="D31" s="9">
        <v>9296091</v>
      </c>
      <c r="E31" s="2" t="s">
        <v>8</v>
      </c>
      <c r="F31" s="6">
        <v>52</v>
      </c>
    </row>
    <row r="32" spans="1:6" x14ac:dyDescent="0.35">
      <c r="A32" s="12">
        <v>43097</v>
      </c>
      <c r="B32" s="2" t="s">
        <v>11</v>
      </c>
      <c r="C32" s="2" t="s">
        <v>12</v>
      </c>
      <c r="D32" s="9">
        <v>13357262</v>
      </c>
      <c r="E32" s="2" t="s">
        <v>8</v>
      </c>
      <c r="F32" s="6">
        <v>52</v>
      </c>
    </row>
    <row r="33" spans="1:6" x14ac:dyDescent="0.35">
      <c r="A33" s="12">
        <v>43097</v>
      </c>
      <c r="B33" s="2" t="s">
        <v>19</v>
      </c>
      <c r="C33" s="2" t="s">
        <v>20</v>
      </c>
      <c r="D33" s="9">
        <v>9781597</v>
      </c>
      <c r="E33" s="2" t="s">
        <v>8</v>
      </c>
      <c r="F33" s="6">
        <v>52</v>
      </c>
    </row>
    <row r="34" spans="1:6" x14ac:dyDescent="0.35">
      <c r="A34" s="12">
        <v>43097</v>
      </c>
      <c r="B34" s="2" t="s">
        <v>9</v>
      </c>
      <c r="C34" s="2" t="s">
        <v>10</v>
      </c>
      <c r="D34" s="9">
        <v>21543828</v>
      </c>
      <c r="E34" s="2" t="s">
        <v>8</v>
      </c>
      <c r="F34" s="6">
        <v>52</v>
      </c>
    </row>
    <row r="35" spans="1:6" x14ac:dyDescent="0.35">
      <c r="A35" s="12">
        <v>43097</v>
      </c>
      <c r="B35" s="2" t="s">
        <v>13</v>
      </c>
      <c r="C35" s="2" t="s">
        <v>14</v>
      </c>
      <c r="D35" s="9">
        <v>11900150</v>
      </c>
      <c r="E35" s="2" t="s">
        <v>8</v>
      </c>
      <c r="F35" s="6">
        <v>52</v>
      </c>
    </row>
    <row r="36" spans="1:6" x14ac:dyDescent="0.35">
      <c r="A36" s="12">
        <v>43097</v>
      </c>
      <c r="B36" s="2" t="s">
        <v>15</v>
      </c>
      <c r="C36" s="2" t="s">
        <v>16</v>
      </c>
      <c r="D36" s="9">
        <v>11977857</v>
      </c>
      <c r="E36" s="2" t="s">
        <v>8</v>
      </c>
      <c r="F36" s="6">
        <v>52</v>
      </c>
    </row>
    <row r="37" spans="1:6" x14ac:dyDescent="0.35">
      <c r="A37" s="12">
        <v>43419</v>
      </c>
      <c r="B37" s="2" t="s">
        <v>6</v>
      </c>
      <c r="C37" s="2" t="s">
        <v>7</v>
      </c>
      <c r="D37" s="9">
        <v>5967226</v>
      </c>
      <c r="E37" s="2" t="s">
        <v>8</v>
      </c>
      <c r="F37" s="6">
        <v>46</v>
      </c>
    </row>
    <row r="38" spans="1:6" x14ac:dyDescent="0.35">
      <c r="A38" s="12">
        <v>43426</v>
      </c>
      <c r="B38" s="2" t="s">
        <v>6</v>
      </c>
      <c r="C38" s="2" t="s">
        <v>7</v>
      </c>
      <c r="D38" s="9">
        <v>9371356</v>
      </c>
      <c r="E38" s="2" t="s">
        <v>8</v>
      </c>
      <c r="F38" s="6">
        <v>47</v>
      </c>
    </row>
    <row r="39" spans="1:6" x14ac:dyDescent="0.35">
      <c r="A39" s="12">
        <v>43426</v>
      </c>
      <c r="B39" s="2" t="s">
        <v>11</v>
      </c>
      <c r="C39" s="2" t="s">
        <v>12</v>
      </c>
      <c r="D39" s="9">
        <v>4139746</v>
      </c>
      <c r="E39" s="2" t="s">
        <v>8</v>
      </c>
      <c r="F39" s="6">
        <v>47</v>
      </c>
    </row>
    <row r="40" spans="1:6" x14ac:dyDescent="0.35">
      <c r="A40" s="12">
        <v>43426</v>
      </c>
      <c r="B40" s="2" t="s">
        <v>9</v>
      </c>
      <c r="C40" s="2" t="s">
        <v>10</v>
      </c>
      <c r="D40" s="9">
        <v>5648833</v>
      </c>
      <c r="E40" s="2" t="s">
        <v>8</v>
      </c>
      <c r="F40" s="6">
        <v>47</v>
      </c>
    </row>
    <row r="41" spans="1:6" x14ac:dyDescent="0.35">
      <c r="A41" s="12">
        <v>43426</v>
      </c>
      <c r="B41" s="2" t="s">
        <v>13</v>
      </c>
      <c r="C41" s="2" t="s">
        <v>14</v>
      </c>
      <c r="D41" s="9">
        <v>4296514</v>
      </c>
      <c r="E41" s="2" t="s">
        <v>8</v>
      </c>
      <c r="F41" s="6">
        <v>47</v>
      </c>
    </row>
    <row r="42" spans="1:6" x14ac:dyDescent="0.35">
      <c r="A42" s="12">
        <v>43426</v>
      </c>
      <c r="B42" s="2" t="s">
        <v>15</v>
      </c>
      <c r="C42" s="2" t="s">
        <v>16</v>
      </c>
      <c r="D42" s="9">
        <v>4938848</v>
      </c>
      <c r="E42" s="2" t="s">
        <v>8</v>
      </c>
      <c r="F42" s="6">
        <v>47</v>
      </c>
    </row>
    <row r="43" spans="1:6" x14ac:dyDescent="0.35">
      <c r="A43" s="12">
        <v>43433</v>
      </c>
      <c r="B43" s="2" t="s">
        <v>6</v>
      </c>
      <c r="C43" s="2" t="s">
        <v>7</v>
      </c>
      <c r="D43" s="9">
        <v>14533064</v>
      </c>
      <c r="E43" s="2" t="s">
        <v>8</v>
      </c>
      <c r="F43" s="6">
        <v>48</v>
      </c>
    </row>
    <row r="44" spans="1:6" x14ac:dyDescent="0.35">
      <c r="A44" s="12">
        <v>43433</v>
      </c>
      <c r="B44" s="2" t="s">
        <v>11</v>
      </c>
      <c r="C44" s="2" t="s">
        <v>12</v>
      </c>
      <c r="D44" s="9">
        <v>6955231</v>
      </c>
      <c r="E44" s="2" t="s">
        <v>8</v>
      </c>
      <c r="F44" s="6">
        <v>48</v>
      </c>
    </row>
    <row r="45" spans="1:6" x14ac:dyDescent="0.35">
      <c r="A45" s="12">
        <v>43433</v>
      </c>
      <c r="B45" s="2" t="s">
        <v>19</v>
      </c>
      <c r="C45" s="2" t="s">
        <v>20</v>
      </c>
      <c r="D45" s="9">
        <v>7220464</v>
      </c>
      <c r="E45" s="2" t="s">
        <v>8</v>
      </c>
      <c r="F45" s="6">
        <v>48</v>
      </c>
    </row>
    <row r="46" spans="1:6" x14ac:dyDescent="0.35">
      <c r="A46" s="12">
        <v>43433</v>
      </c>
      <c r="B46" s="2" t="s">
        <v>9</v>
      </c>
      <c r="C46" s="2" t="s">
        <v>10</v>
      </c>
      <c r="D46" s="9">
        <v>9198949</v>
      </c>
      <c r="E46" s="2" t="s">
        <v>8</v>
      </c>
      <c r="F46" s="6">
        <v>48</v>
      </c>
    </row>
    <row r="47" spans="1:6" x14ac:dyDescent="0.35">
      <c r="A47" s="12">
        <v>43433</v>
      </c>
      <c r="B47" s="2" t="s">
        <v>13</v>
      </c>
      <c r="C47" s="2" t="s">
        <v>14</v>
      </c>
      <c r="D47" s="9">
        <v>7409688</v>
      </c>
      <c r="E47" s="2" t="s">
        <v>8</v>
      </c>
      <c r="F47" s="6">
        <v>48</v>
      </c>
    </row>
    <row r="48" spans="1:6" x14ac:dyDescent="0.35">
      <c r="A48" s="12">
        <v>43433</v>
      </c>
      <c r="B48" s="2" t="s">
        <v>15</v>
      </c>
      <c r="C48" s="2" t="s">
        <v>16</v>
      </c>
      <c r="D48" s="9">
        <v>9078130</v>
      </c>
      <c r="E48" s="2" t="s">
        <v>8</v>
      </c>
      <c r="F48" s="6">
        <v>48</v>
      </c>
    </row>
    <row r="49" spans="1:6" x14ac:dyDescent="0.35">
      <c r="A49" s="12">
        <v>43440</v>
      </c>
      <c r="B49" s="2" t="s">
        <v>6</v>
      </c>
      <c r="C49" s="2" t="s">
        <v>7</v>
      </c>
      <c r="D49" s="9">
        <v>24036955</v>
      </c>
      <c r="E49" s="2" t="s">
        <v>8</v>
      </c>
      <c r="F49" s="6">
        <v>49</v>
      </c>
    </row>
    <row r="50" spans="1:6" x14ac:dyDescent="0.35">
      <c r="A50" s="12">
        <v>43440</v>
      </c>
      <c r="B50" s="2" t="s">
        <v>17</v>
      </c>
      <c r="C50" s="2" t="s">
        <v>18</v>
      </c>
      <c r="D50" s="9">
        <v>6412898</v>
      </c>
      <c r="E50" s="2" t="s">
        <v>8</v>
      </c>
      <c r="F50" s="6">
        <v>49</v>
      </c>
    </row>
    <row r="51" spans="1:6" x14ac:dyDescent="0.35">
      <c r="A51" s="12">
        <v>43440</v>
      </c>
      <c r="B51" s="2" t="s">
        <v>11</v>
      </c>
      <c r="C51" s="2" t="s">
        <v>12</v>
      </c>
      <c r="D51" s="9">
        <v>13014838</v>
      </c>
      <c r="E51" s="2" t="s">
        <v>8</v>
      </c>
      <c r="F51" s="6">
        <v>49</v>
      </c>
    </row>
    <row r="52" spans="1:6" x14ac:dyDescent="0.35">
      <c r="A52" s="12">
        <v>43440</v>
      </c>
      <c r="B52" s="2" t="s">
        <v>19</v>
      </c>
      <c r="C52" s="2" t="s">
        <v>20</v>
      </c>
      <c r="D52" s="9">
        <v>12304877</v>
      </c>
      <c r="E52" s="2" t="s">
        <v>8</v>
      </c>
      <c r="F52" s="6">
        <v>49</v>
      </c>
    </row>
    <row r="53" spans="1:6" x14ac:dyDescent="0.35">
      <c r="A53" s="12">
        <v>43440</v>
      </c>
      <c r="B53" s="2" t="s">
        <v>9</v>
      </c>
      <c r="C53" s="2" t="s">
        <v>10</v>
      </c>
      <c r="D53" s="9">
        <v>16058707</v>
      </c>
      <c r="E53" s="2" t="s">
        <v>8</v>
      </c>
      <c r="F53" s="6">
        <v>49</v>
      </c>
    </row>
    <row r="54" spans="1:6" x14ac:dyDescent="0.35">
      <c r="A54" s="12">
        <v>43440</v>
      </c>
      <c r="B54" s="2" t="s">
        <v>13</v>
      </c>
      <c r="C54" s="2" t="s">
        <v>14</v>
      </c>
      <c r="D54" s="9">
        <v>11609964</v>
      </c>
      <c r="E54" s="2" t="s">
        <v>8</v>
      </c>
      <c r="F54" s="6">
        <v>49</v>
      </c>
    </row>
    <row r="55" spans="1:6" x14ac:dyDescent="0.35">
      <c r="A55" s="12">
        <v>43440</v>
      </c>
      <c r="B55" s="2" t="s">
        <v>15</v>
      </c>
      <c r="C55" s="2" t="s">
        <v>16</v>
      </c>
      <c r="D55" s="9">
        <v>16471103</v>
      </c>
      <c r="E55" s="2" t="s">
        <v>8</v>
      </c>
      <c r="F55" s="6">
        <v>49</v>
      </c>
    </row>
    <row r="56" spans="1:6" x14ac:dyDescent="0.35">
      <c r="A56" s="12">
        <v>43447</v>
      </c>
      <c r="B56" s="2" t="s">
        <v>6</v>
      </c>
      <c r="C56" s="2" t="s">
        <v>7</v>
      </c>
      <c r="D56" s="9">
        <v>23468009</v>
      </c>
      <c r="E56" s="2" t="s">
        <v>8</v>
      </c>
      <c r="F56" s="6">
        <v>50</v>
      </c>
    </row>
    <row r="57" spans="1:6" x14ac:dyDescent="0.35">
      <c r="A57" s="12">
        <v>43447</v>
      </c>
      <c r="B57" s="2" t="s">
        <v>17</v>
      </c>
      <c r="C57" s="2" t="s">
        <v>18</v>
      </c>
      <c r="D57" s="9">
        <v>7233202</v>
      </c>
      <c r="E57" s="2" t="s">
        <v>8</v>
      </c>
      <c r="F57" s="6">
        <v>50</v>
      </c>
    </row>
    <row r="58" spans="1:6" x14ac:dyDescent="0.35">
      <c r="A58" s="12">
        <v>43447</v>
      </c>
      <c r="B58" s="2" t="s">
        <v>11</v>
      </c>
      <c r="C58" s="2" t="s">
        <v>12</v>
      </c>
      <c r="D58" s="9">
        <v>14210646</v>
      </c>
      <c r="E58" s="2" t="s">
        <v>8</v>
      </c>
      <c r="F58" s="6">
        <v>50</v>
      </c>
    </row>
    <row r="59" spans="1:6" x14ac:dyDescent="0.35">
      <c r="A59" s="12">
        <v>43447</v>
      </c>
      <c r="B59" s="2" t="s">
        <v>19</v>
      </c>
      <c r="C59" s="2" t="s">
        <v>20</v>
      </c>
      <c r="D59" s="9">
        <v>13163696</v>
      </c>
      <c r="E59" s="2" t="s">
        <v>8</v>
      </c>
      <c r="F59" s="6">
        <v>50</v>
      </c>
    </row>
    <row r="60" spans="1:6" x14ac:dyDescent="0.35">
      <c r="A60" s="12">
        <v>43447</v>
      </c>
      <c r="B60" s="2" t="s">
        <v>9</v>
      </c>
      <c r="C60" s="2" t="s">
        <v>10</v>
      </c>
      <c r="D60" s="9">
        <v>18720379</v>
      </c>
      <c r="E60" s="2" t="s">
        <v>8</v>
      </c>
      <c r="F60" s="6">
        <v>50</v>
      </c>
    </row>
    <row r="61" spans="1:6" x14ac:dyDescent="0.35">
      <c r="A61" s="12">
        <v>43447</v>
      </c>
      <c r="B61" s="2" t="s">
        <v>13</v>
      </c>
      <c r="C61" s="2" t="s">
        <v>14</v>
      </c>
      <c r="D61" s="9">
        <v>12622908</v>
      </c>
      <c r="E61" s="2" t="s">
        <v>8</v>
      </c>
      <c r="F61" s="6">
        <v>50</v>
      </c>
    </row>
    <row r="62" spans="1:6" x14ac:dyDescent="0.35">
      <c r="A62" s="12">
        <v>43447</v>
      </c>
      <c r="B62" s="2" t="s">
        <v>15</v>
      </c>
      <c r="C62" s="2" t="s">
        <v>16</v>
      </c>
      <c r="D62" s="9">
        <v>14934312</v>
      </c>
      <c r="E62" s="2" t="s">
        <v>8</v>
      </c>
      <c r="F62" s="6">
        <v>50</v>
      </c>
    </row>
    <row r="63" spans="1:6" x14ac:dyDescent="0.35">
      <c r="A63" s="12">
        <v>43454</v>
      </c>
      <c r="B63" s="2" t="s">
        <v>6</v>
      </c>
      <c r="C63" s="2" t="s">
        <v>7</v>
      </c>
      <c r="D63" s="9">
        <v>26819265</v>
      </c>
      <c r="E63" s="2" t="s">
        <v>8</v>
      </c>
      <c r="F63" s="6">
        <v>51</v>
      </c>
    </row>
    <row r="64" spans="1:6" x14ac:dyDescent="0.35">
      <c r="A64" s="12">
        <v>43454</v>
      </c>
      <c r="B64" s="2" t="s">
        <v>17</v>
      </c>
      <c r="C64" s="2" t="s">
        <v>18</v>
      </c>
      <c r="D64" s="9">
        <v>8326667</v>
      </c>
      <c r="E64" s="2" t="s">
        <v>8</v>
      </c>
      <c r="F64" s="6">
        <v>51</v>
      </c>
    </row>
    <row r="65" spans="1:6" x14ac:dyDescent="0.35">
      <c r="A65" s="12">
        <v>43454</v>
      </c>
      <c r="B65" s="2" t="s">
        <v>11</v>
      </c>
      <c r="C65" s="2" t="s">
        <v>12</v>
      </c>
      <c r="D65" s="9">
        <v>15912361</v>
      </c>
      <c r="E65" s="2" t="s">
        <v>8</v>
      </c>
      <c r="F65" s="6">
        <v>51</v>
      </c>
    </row>
    <row r="66" spans="1:6" x14ac:dyDescent="0.35">
      <c r="A66" s="12">
        <v>43454</v>
      </c>
      <c r="B66" s="2" t="s">
        <v>19</v>
      </c>
      <c r="C66" s="2" t="s">
        <v>20</v>
      </c>
      <c r="D66" s="9">
        <v>14601397</v>
      </c>
      <c r="E66" s="2" t="s">
        <v>8</v>
      </c>
      <c r="F66" s="6">
        <v>51</v>
      </c>
    </row>
    <row r="67" spans="1:6" x14ac:dyDescent="0.35">
      <c r="A67" s="12">
        <v>43454</v>
      </c>
      <c r="B67" s="2" t="s">
        <v>9</v>
      </c>
      <c r="C67" s="2" t="s">
        <v>10</v>
      </c>
      <c r="D67" s="9">
        <v>21408808</v>
      </c>
      <c r="E67" s="2" t="s">
        <v>8</v>
      </c>
      <c r="F67" s="6">
        <v>51</v>
      </c>
    </row>
    <row r="68" spans="1:6" x14ac:dyDescent="0.35">
      <c r="A68" s="12">
        <v>43454</v>
      </c>
      <c r="B68" s="2" t="s">
        <v>13</v>
      </c>
      <c r="C68" s="2" t="s">
        <v>14</v>
      </c>
      <c r="D68" s="9">
        <v>14462557</v>
      </c>
      <c r="E68" s="2" t="s">
        <v>8</v>
      </c>
      <c r="F68" s="6">
        <v>51</v>
      </c>
    </row>
    <row r="69" spans="1:6" x14ac:dyDescent="0.35">
      <c r="A69" s="12">
        <v>43454</v>
      </c>
      <c r="B69" s="2" t="s">
        <v>15</v>
      </c>
      <c r="C69" s="2" t="s">
        <v>16</v>
      </c>
      <c r="D69" s="9">
        <v>18210221</v>
      </c>
      <c r="E69" s="2" t="s">
        <v>8</v>
      </c>
      <c r="F69" s="6">
        <v>51</v>
      </c>
    </row>
    <row r="70" spans="1:6" x14ac:dyDescent="0.35">
      <c r="A70" s="12">
        <v>43461</v>
      </c>
      <c r="B70" s="2" t="s">
        <v>6</v>
      </c>
      <c r="C70" s="2" t="s">
        <v>7</v>
      </c>
      <c r="D70" s="9">
        <v>39567108</v>
      </c>
      <c r="E70" s="2" t="s">
        <v>8</v>
      </c>
      <c r="F70" s="6">
        <v>52</v>
      </c>
    </row>
    <row r="71" spans="1:6" x14ac:dyDescent="0.35">
      <c r="A71" s="12">
        <v>43461</v>
      </c>
      <c r="B71" s="2" t="s">
        <v>17</v>
      </c>
      <c r="C71" s="2" t="s">
        <v>18</v>
      </c>
      <c r="D71" s="9">
        <v>14719120</v>
      </c>
      <c r="E71" s="2" t="s">
        <v>8</v>
      </c>
      <c r="F71" s="6">
        <v>52</v>
      </c>
    </row>
    <row r="72" spans="1:6" x14ac:dyDescent="0.35">
      <c r="A72" s="12">
        <v>43461</v>
      </c>
      <c r="B72" s="2" t="s">
        <v>11</v>
      </c>
      <c r="C72" s="2" t="s">
        <v>12</v>
      </c>
      <c r="D72" s="9">
        <v>24492004</v>
      </c>
      <c r="E72" s="2" t="s">
        <v>8</v>
      </c>
      <c r="F72" s="6">
        <v>52</v>
      </c>
    </row>
    <row r="73" spans="1:6" x14ac:dyDescent="0.35">
      <c r="A73" s="12">
        <v>43461</v>
      </c>
      <c r="B73" s="2" t="s">
        <v>19</v>
      </c>
      <c r="C73" s="2" t="s">
        <v>20</v>
      </c>
      <c r="D73" s="9">
        <v>22414165</v>
      </c>
      <c r="E73" s="2" t="s">
        <v>8</v>
      </c>
      <c r="F73" s="6">
        <v>52</v>
      </c>
    </row>
    <row r="74" spans="1:6" x14ac:dyDescent="0.35">
      <c r="A74" s="12">
        <v>43461</v>
      </c>
      <c r="B74" s="2" t="s">
        <v>9</v>
      </c>
      <c r="C74" s="2" t="s">
        <v>10</v>
      </c>
      <c r="D74" s="9">
        <v>32326595</v>
      </c>
      <c r="E74" s="2" t="s">
        <v>8</v>
      </c>
      <c r="F74" s="6">
        <v>52</v>
      </c>
    </row>
    <row r="75" spans="1:6" x14ac:dyDescent="0.35">
      <c r="A75" s="12">
        <v>43461</v>
      </c>
      <c r="B75" s="2" t="s">
        <v>13</v>
      </c>
      <c r="C75" s="2" t="s">
        <v>14</v>
      </c>
      <c r="D75" s="9">
        <v>22360872</v>
      </c>
      <c r="E75" s="2" t="s">
        <v>8</v>
      </c>
      <c r="F75" s="6">
        <v>52</v>
      </c>
    </row>
    <row r="76" spans="1:6" x14ac:dyDescent="0.35">
      <c r="A76" s="12">
        <v>43461</v>
      </c>
      <c r="B76" s="2" t="s">
        <v>15</v>
      </c>
      <c r="C76" s="2" t="s">
        <v>16</v>
      </c>
      <c r="D76" s="9">
        <v>26841408</v>
      </c>
      <c r="E76" s="2" t="s">
        <v>8</v>
      </c>
      <c r="F76" s="6">
        <v>52</v>
      </c>
    </row>
    <row r="77" spans="1:6" x14ac:dyDescent="0.35">
      <c r="A77" s="12">
        <v>43776</v>
      </c>
      <c r="B77" s="2" t="s">
        <v>6</v>
      </c>
      <c r="C77" s="2" t="s">
        <v>7</v>
      </c>
      <c r="D77" s="9">
        <v>5005576</v>
      </c>
      <c r="E77" s="2" t="s">
        <v>8</v>
      </c>
      <c r="F77" s="6">
        <v>45</v>
      </c>
    </row>
    <row r="78" spans="1:6" x14ac:dyDescent="0.35">
      <c r="A78" s="12">
        <v>43783</v>
      </c>
      <c r="B78" s="2" t="s">
        <v>6</v>
      </c>
      <c r="C78" s="2" t="s">
        <v>7</v>
      </c>
      <c r="D78" s="9">
        <v>6570623</v>
      </c>
      <c r="E78" s="2" t="s">
        <v>8</v>
      </c>
      <c r="F78" s="6">
        <v>46</v>
      </c>
    </row>
    <row r="79" spans="1:6" x14ac:dyDescent="0.35">
      <c r="A79" s="12">
        <v>43783</v>
      </c>
      <c r="B79" s="2" t="s">
        <v>9</v>
      </c>
      <c r="C79" s="2" t="s">
        <v>10</v>
      </c>
      <c r="D79" s="9">
        <v>4795477</v>
      </c>
      <c r="E79" s="2" t="s">
        <v>8</v>
      </c>
      <c r="F79" s="6">
        <v>46</v>
      </c>
    </row>
    <row r="80" spans="1:6" x14ac:dyDescent="0.35">
      <c r="A80" s="12">
        <v>43790</v>
      </c>
      <c r="B80" s="2" t="s">
        <v>6</v>
      </c>
      <c r="C80" s="2" t="s">
        <v>7</v>
      </c>
      <c r="D80" s="9">
        <v>8344450</v>
      </c>
      <c r="E80" s="2" t="s">
        <v>8</v>
      </c>
      <c r="F80" s="6">
        <v>47</v>
      </c>
    </row>
    <row r="81" spans="1:6" x14ac:dyDescent="0.35">
      <c r="A81" s="12">
        <v>43790</v>
      </c>
      <c r="B81" s="2" t="s">
        <v>9</v>
      </c>
      <c r="C81" s="2" t="s">
        <v>10</v>
      </c>
      <c r="D81" s="9">
        <v>6166454</v>
      </c>
      <c r="E81" s="2" t="s">
        <v>8</v>
      </c>
      <c r="F81" s="6">
        <v>47</v>
      </c>
    </row>
    <row r="82" spans="1:6" x14ac:dyDescent="0.35">
      <c r="A82" s="12">
        <v>43790</v>
      </c>
      <c r="B82" s="2" t="s">
        <v>15</v>
      </c>
      <c r="C82" s="2" t="s">
        <v>16</v>
      </c>
      <c r="D82" s="9">
        <v>5121609</v>
      </c>
      <c r="E82" s="2" t="s">
        <v>8</v>
      </c>
      <c r="F82" s="6">
        <v>47</v>
      </c>
    </row>
    <row r="83" spans="1:6" x14ac:dyDescent="0.35">
      <c r="A83" s="12">
        <v>43797</v>
      </c>
      <c r="B83" s="2" t="s">
        <v>6</v>
      </c>
      <c r="C83" s="2" t="s">
        <v>7</v>
      </c>
      <c r="D83" s="9">
        <v>12612693</v>
      </c>
      <c r="E83" s="2" t="s">
        <v>8</v>
      </c>
      <c r="F83" s="6">
        <v>48</v>
      </c>
    </row>
    <row r="84" spans="1:6" x14ac:dyDescent="0.35">
      <c r="A84" s="12">
        <v>43797</v>
      </c>
      <c r="B84" s="2" t="s">
        <v>11</v>
      </c>
      <c r="C84" s="2" t="s">
        <v>12</v>
      </c>
      <c r="D84" s="9">
        <v>6183295</v>
      </c>
      <c r="E84" s="2" t="s">
        <v>8</v>
      </c>
      <c r="F84" s="6">
        <v>48</v>
      </c>
    </row>
    <row r="85" spans="1:6" x14ac:dyDescent="0.35">
      <c r="A85" s="12">
        <v>43797</v>
      </c>
      <c r="B85" s="2" t="s">
        <v>19</v>
      </c>
      <c r="C85" s="2" t="s">
        <v>20</v>
      </c>
      <c r="D85" s="9">
        <v>5558342</v>
      </c>
      <c r="E85" s="2" t="s">
        <v>8</v>
      </c>
      <c r="F85" s="6">
        <v>48</v>
      </c>
    </row>
    <row r="86" spans="1:6" x14ac:dyDescent="0.35">
      <c r="A86" s="12">
        <v>43797</v>
      </c>
      <c r="B86" s="2" t="s">
        <v>9</v>
      </c>
      <c r="C86" s="2" t="s">
        <v>10</v>
      </c>
      <c r="D86" s="9">
        <v>9167657</v>
      </c>
      <c r="E86" s="2" t="s">
        <v>8</v>
      </c>
      <c r="F86" s="6">
        <v>48</v>
      </c>
    </row>
    <row r="87" spans="1:6" x14ac:dyDescent="0.35">
      <c r="A87" s="12">
        <v>43797</v>
      </c>
      <c r="B87" s="2" t="s">
        <v>13</v>
      </c>
      <c r="C87" s="2" t="s">
        <v>14</v>
      </c>
      <c r="D87" s="9">
        <v>5588808</v>
      </c>
      <c r="E87" s="2" t="s">
        <v>8</v>
      </c>
      <c r="F87" s="6">
        <v>48</v>
      </c>
    </row>
    <row r="88" spans="1:6" x14ac:dyDescent="0.35">
      <c r="A88" s="12">
        <v>43797</v>
      </c>
      <c r="B88" s="2" t="s">
        <v>15</v>
      </c>
      <c r="C88" s="2" t="s">
        <v>16</v>
      </c>
      <c r="D88" s="9">
        <v>7367685</v>
      </c>
      <c r="E88" s="2" t="s">
        <v>8</v>
      </c>
      <c r="F88" s="6">
        <v>48</v>
      </c>
    </row>
    <row r="89" spans="1:6" x14ac:dyDescent="0.35">
      <c r="A89" s="12">
        <v>43804</v>
      </c>
      <c r="B89" s="2" t="s">
        <v>6</v>
      </c>
      <c r="C89" s="2" t="s">
        <v>7</v>
      </c>
      <c r="D89" s="9">
        <v>22394175</v>
      </c>
      <c r="E89" s="2" t="s">
        <v>8</v>
      </c>
      <c r="F89" s="6">
        <v>49</v>
      </c>
    </row>
    <row r="90" spans="1:6" x14ac:dyDescent="0.35">
      <c r="A90" s="12">
        <v>43804</v>
      </c>
      <c r="B90" s="2" t="s">
        <v>17</v>
      </c>
      <c r="C90" s="2" t="s">
        <v>18</v>
      </c>
      <c r="D90" s="9">
        <v>7517050</v>
      </c>
      <c r="E90" s="2" t="s">
        <v>8</v>
      </c>
      <c r="F90" s="6">
        <v>49</v>
      </c>
    </row>
    <row r="91" spans="1:6" x14ac:dyDescent="0.35">
      <c r="A91" s="12">
        <v>43804</v>
      </c>
      <c r="B91" s="2" t="s">
        <v>11</v>
      </c>
      <c r="C91" s="2" t="s">
        <v>12</v>
      </c>
      <c r="D91" s="9">
        <v>12258394</v>
      </c>
      <c r="E91" s="2" t="s">
        <v>8</v>
      </c>
      <c r="F91" s="6">
        <v>49</v>
      </c>
    </row>
    <row r="92" spans="1:6" x14ac:dyDescent="0.35">
      <c r="A92" s="12">
        <v>43804</v>
      </c>
      <c r="B92" s="2" t="s">
        <v>19</v>
      </c>
      <c r="C92" s="2" t="s">
        <v>20</v>
      </c>
      <c r="D92" s="9">
        <v>10901943</v>
      </c>
      <c r="E92" s="2" t="s">
        <v>8</v>
      </c>
      <c r="F92" s="6">
        <v>49</v>
      </c>
    </row>
    <row r="93" spans="1:6" x14ac:dyDescent="0.35">
      <c r="A93" s="12">
        <v>43804</v>
      </c>
      <c r="B93" s="2" t="s">
        <v>9</v>
      </c>
      <c r="C93" s="2" t="s">
        <v>10</v>
      </c>
      <c r="D93" s="9">
        <v>17615075</v>
      </c>
      <c r="E93" s="2" t="s">
        <v>8</v>
      </c>
      <c r="F93" s="6">
        <v>49</v>
      </c>
    </row>
    <row r="94" spans="1:6" x14ac:dyDescent="0.35">
      <c r="A94" s="12">
        <v>43804</v>
      </c>
      <c r="B94" s="2" t="s">
        <v>13</v>
      </c>
      <c r="C94" s="2" t="s">
        <v>14</v>
      </c>
      <c r="D94" s="9">
        <v>11155568</v>
      </c>
      <c r="E94" s="2" t="s">
        <v>8</v>
      </c>
      <c r="F94" s="6">
        <v>49</v>
      </c>
    </row>
    <row r="95" spans="1:6" x14ac:dyDescent="0.35">
      <c r="A95" s="12">
        <v>43804</v>
      </c>
      <c r="B95" s="2" t="s">
        <v>15</v>
      </c>
      <c r="C95" s="2" t="s">
        <v>16</v>
      </c>
      <c r="D95" s="9">
        <v>14107437</v>
      </c>
      <c r="E95" s="2" t="s">
        <v>8</v>
      </c>
      <c r="F95" s="6">
        <v>49</v>
      </c>
    </row>
    <row r="96" spans="1:6" x14ac:dyDescent="0.35">
      <c r="A96" s="12">
        <v>43811</v>
      </c>
      <c r="B96" s="2" t="s">
        <v>6</v>
      </c>
      <c r="C96" s="2" t="s">
        <v>7</v>
      </c>
      <c r="D96" s="9">
        <v>24024043</v>
      </c>
      <c r="E96" s="2" t="s">
        <v>8</v>
      </c>
      <c r="F96" s="6">
        <v>50</v>
      </c>
    </row>
    <row r="97" spans="1:6" x14ac:dyDescent="0.35">
      <c r="A97" s="12">
        <v>43811</v>
      </c>
      <c r="B97" s="2" t="s">
        <v>17</v>
      </c>
      <c r="C97" s="2" t="s">
        <v>18</v>
      </c>
      <c r="D97" s="9">
        <v>8691550</v>
      </c>
      <c r="E97" s="2" t="s">
        <v>8</v>
      </c>
      <c r="F97" s="6">
        <v>50</v>
      </c>
    </row>
    <row r="98" spans="1:6" x14ac:dyDescent="0.35">
      <c r="A98" s="12">
        <v>43811</v>
      </c>
      <c r="B98" s="2" t="s">
        <v>11</v>
      </c>
      <c r="C98" s="2" t="s">
        <v>12</v>
      </c>
      <c r="D98" s="9">
        <v>13521227</v>
      </c>
      <c r="E98" s="2" t="s">
        <v>8</v>
      </c>
      <c r="F98" s="6">
        <v>50</v>
      </c>
    </row>
    <row r="99" spans="1:6" x14ac:dyDescent="0.35">
      <c r="A99" s="12">
        <v>43811</v>
      </c>
      <c r="B99" s="2" t="s">
        <v>19</v>
      </c>
      <c r="C99" s="2" t="s">
        <v>20</v>
      </c>
      <c r="D99" s="9">
        <v>12457545</v>
      </c>
      <c r="E99" s="2" t="s">
        <v>8</v>
      </c>
      <c r="F99" s="6">
        <v>50</v>
      </c>
    </row>
    <row r="100" spans="1:6" x14ac:dyDescent="0.35">
      <c r="A100" s="12">
        <v>43811</v>
      </c>
      <c r="B100" s="2" t="s">
        <v>9</v>
      </c>
      <c r="C100" s="2" t="s">
        <v>10</v>
      </c>
      <c r="D100" s="9">
        <v>19402441</v>
      </c>
      <c r="E100" s="2" t="s">
        <v>8</v>
      </c>
      <c r="F100" s="6">
        <v>50</v>
      </c>
    </row>
    <row r="101" spans="1:6" x14ac:dyDescent="0.35">
      <c r="A101" s="12">
        <v>43811</v>
      </c>
      <c r="B101" s="2" t="s">
        <v>13</v>
      </c>
      <c r="C101" s="2" t="s">
        <v>14</v>
      </c>
      <c r="D101" s="9">
        <v>12756056</v>
      </c>
      <c r="E101" s="2" t="s">
        <v>8</v>
      </c>
      <c r="F101" s="6">
        <v>50</v>
      </c>
    </row>
    <row r="102" spans="1:6" x14ac:dyDescent="0.35">
      <c r="A102" s="12">
        <v>43811</v>
      </c>
      <c r="B102" s="2" t="s">
        <v>15</v>
      </c>
      <c r="C102" s="2" t="s">
        <v>16</v>
      </c>
      <c r="D102" s="9">
        <v>15382577</v>
      </c>
      <c r="E102" s="2" t="s">
        <v>8</v>
      </c>
      <c r="F102" s="6">
        <v>50</v>
      </c>
    </row>
    <row r="103" spans="1:6" x14ac:dyDescent="0.35">
      <c r="A103" s="12">
        <v>43818</v>
      </c>
      <c r="B103" s="2" t="s">
        <v>6</v>
      </c>
      <c r="C103" s="2" t="s">
        <v>7</v>
      </c>
      <c r="D103" s="9">
        <v>27155209</v>
      </c>
      <c r="E103" s="2" t="s">
        <v>8</v>
      </c>
      <c r="F103" s="6">
        <v>51</v>
      </c>
    </row>
    <row r="104" spans="1:6" x14ac:dyDescent="0.35">
      <c r="A104" s="12">
        <v>43818</v>
      </c>
      <c r="B104" s="2" t="s">
        <v>17</v>
      </c>
      <c r="C104" s="2" t="s">
        <v>18</v>
      </c>
      <c r="D104" s="9">
        <v>10286298</v>
      </c>
      <c r="E104" s="2" t="s">
        <v>8</v>
      </c>
      <c r="F104" s="6">
        <v>51</v>
      </c>
    </row>
    <row r="105" spans="1:6" x14ac:dyDescent="0.35">
      <c r="A105" s="12">
        <v>43818</v>
      </c>
      <c r="B105" s="2" t="s">
        <v>11</v>
      </c>
      <c r="C105" s="2" t="s">
        <v>12</v>
      </c>
      <c r="D105" s="9">
        <v>14847978</v>
      </c>
      <c r="E105" s="2" t="s">
        <v>8</v>
      </c>
      <c r="F105" s="6">
        <v>51</v>
      </c>
    </row>
    <row r="106" spans="1:6" x14ac:dyDescent="0.35">
      <c r="A106" s="12">
        <v>43818</v>
      </c>
      <c r="B106" s="2" t="s">
        <v>19</v>
      </c>
      <c r="C106" s="2" t="s">
        <v>20</v>
      </c>
      <c r="D106" s="9">
        <v>14040340</v>
      </c>
      <c r="E106" s="2" t="s">
        <v>8</v>
      </c>
      <c r="F106" s="6">
        <v>51</v>
      </c>
    </row>
    <row r="107" spans="1:6" x14ac:dyDescent="0.35">
      <c r="A107" s="12">
        <v>43818</v>
      </c>
      <c r="B107" s="2" t="s">
        <v>9</v>
      </c>
      <c r="C107" s="2" t="s">
        <v>10</v>
      </c>
      <c r="D107" s="9">
        <v>21975011</v>
      </c>
      <c r="E107" s="2" t="s">
        <v>8</v>
      </c>
      <c r="F107" s="6">
        <v>51</v>
      </c>
    </row>
    <row r="108" spans="1:6" x14ac:dyDescent="0.35">
      <c r="A108" s="12">
        <v>43818</v>
      </c>
      <c r="B108" s="2" t="s">
        <v>13</v>
      </c>
      <c r="C108" s="2" t="s">
        <v>14</v>
      </c>
      <c r="D108" s="9">
        <v>14078309</v>
      </c>
      <c r="E108" s="2" t="s">
        <v>8</v>
      </c>
      <c r="F108" s="6">
        <v>51</v>
      </c>
    </row>
    <row r="109" spans="1:6" x14ac:dyDescent="0.35">
      <c r="A109" s="12">
        <v>43818</v>
      </c>
      <c r="B109" s="2" t="s">
        <v>15</v>
      </c>
      <c r="C109" s="2" t="s">
        <v>16</v>
      </c>
      <c r="D109" s="9">
        <v>17011748</v>
      </c>
      <c r="E109" s="2" t="s">
        <v>8</v>
      </c>
      <c r="F109" s="6">
        <v>51</v>
      </c>
    </row>
    <row r="110" spans="1:6" x14ac:dyDescent="0.35">
      <c r="A110" s="12">
        <v>43825</v>
      </c>
      <c r="B110" s="2" t="s">
        <v>6</v>
      </c>
      <c r="C110" s="2" t="s">
        <v>7</v>
      </c>
      <c r="D110" s="9">
        <v>45828931</v>
      </c>
      <c r="E110" s="2" t="s">
        <v>8</v>
      </c>
      <c r="F110" s="6">
        <v>52</v>
      </c>
    </row>
    <row r="111" spans="1:6" x14ac:dyDescent="0.35">
      <c r="A111" s="12">
        <v>43825</v>
      </c>
      <c r="B111" s="2" t="s">
        <v>17</v>
      </c>
      <c r="C111" s="2" t="s">
        <v>18</v>
      </c>
      <c r="D111" s="9">
        <v>20300178</v>
      </c>
      <c r="E111" s="2" t="s">
        <v>8</v>
      </c>
      <c r="F111" s="6">
        <v>52</v>
      </c>
    </row>
    <row r="112" spans="1:6" x14ac:dyDescent="0.35">
      <c r="A112" s="12">
        <v>43825</v>
      </c>
      <c r="B112" s="2" t="s">
        <v>11</v>
      </c>
      <c r="C112" s="2" t="s">
        <v>12</v>
      </c>
      <c r="D112" s="9">
        <v>25997383</v>
      </c>
      <c r="E112" s="2" t="s">
        <v>8</v>
      </c>
      <c r="F112" s="6">
        <v>52</v>
      </c>
    </row>
    <row r="113" spans="1:6" x14ac:dyDescent="0.35">
      <c r="A113" s="12">
        <v>43825</v>
      </c>
      <c r="B113" s="2" t="s">
        <v>19</v>
      </c>
      <c r="C113" s="2" t="s">
        <v>20</v>
      </c>
      <c r="D113" s="9">
        <v>24951120</v>
      </c>
      <c r="E113" s="2" t="s">
        <v>8</v>
      </c>
      <c r="F113" s="6">
        <v>52</v>
      </c>
    </row>
    <row r="114" spans="1:6" x14ac:dyDescent="0.35">
      <c r="A114" s="12">
        <v>43825</v>
      </c>
      <c r="B114" s="2" t="s">
        <v>9</v>
      </c>
      <c r="C114" s="2" t="s">
        <v>10</v>
      </c>
      <c r="D114" s="9">
        <v>37725693</v>
      </c>
      <c r="E114" s="2" t="s">
        <v>8</v>
      </c>
      <c r="F114" s="6">
        <v>52</v>
      </c>
    </row>
    <row r="115" spans="1:6" x14ac:dyDescent="0.35">
      <c r="A115" s="12">
        <v>43825</v>
      </c>
      <c r="B115" s="2" t="s">
        <v>13</v>
      </c>
      <c r="C115" s="2" t="s">
        <v>14</v>
      </c>
      <c r="D115" s="9">
        <v>24401078</v>
      </c>
      <c r="E115" s="2" t="s">
        <v>8</v>
      </c>
      <c r="F115" s="6">
        <v>52</v>
      </c>
    </row>
    <row r="116" spans="1:6" x14ac:dyDescent="0.35">
      <c r="A116" s="12">
        <v>43825</v>
      </c>
      <c r="B116" s="2" t="s">
        <v>15</v>
      </c>
      <c r="C116" s="2" t="s">
        <v>16</v>
      </c>
      <c r="D116" s="9">
        <v>27506141</v>
      </c>
      <c r="E116" s="2" t="s">
        <v>8</v>
      </c>
      <c r="F116" s="6">
        <v>52</v>
      </c>
    </row>
    <row r="117" spans="1:6" x14ac:dyDescent="0.35">
      <c r="A117" s="12">
        <v>43832</v>
      </c>
      <c r="B117" s="2" t="s">
        <v>6</v>
      </c>
      <c r="C117" s="2" t="s">
        <v>7</v>
      </c>
      <c r="D117" s="9">
        <v>5241737</v>
      </c>
      <c r="E117" s="2" t="s">
        <v>8</v>
      </c>
      <c r="F117" s="6">
        <v>1</v>
      </c>
    </row>
    <row r="118" spans="1:6" x14ac:dyDescent="0.35">
      <c r="A118" s="12">
        <v>44140</v>
      </c>
      <c r="B118" s="2" t="s">
        <v>6</v>
      </c>
      <c r="C118" s="2" t="s">
        <v>7</v>
      </c>
      <c r="D118" s="9">
        <v>5008815</v>
      </c>
      <c r="E118" s="2" t="s">
        <v>8</v>
      </c>
      <c r="F118" s="6">
        <v>45</v>
      </c>
    </row>
    <row r="119" spans="1:6" x14ac:dyDescent="0.35">
      <c r="A119" s="12">
        <v>44147</v>
      </c>
      <c r="B119" s="2" t="s">
        <v>6</v>
      </c>
      <c r="C119" s="2" t="s">
        <v>7</v>
      </c>
      <c r="D119" s="9">
        <v>7130162</v>
      </c>
      <c r="E119" s="2" t="s">
        <v>8</v>
      </c>
      <c r="F119" s="6">
        <v>46</v>
      </c>
    </row>
    <row r="120" spans="1:6" x14ac:dyDescent="0.35">
      <c r="A120" s="12">
        <v>44147</v>
      </c>
      <c r="B120" s="2" t="s">
        <v>9</v>
      </c>
      <c r="C120" s="2" t="s">
        <v>10</v>
      </c>
      <c r="D120" s="9">
        <v>5385394</v>
      </c>
      <c r="E120" s="2" t="s">
        <v>8</v>
      </c>
      <c r="F120" s="6">
        <v>46</v>
      </c>
    </row>
    <row r="121" spans="1:6" x14ac:dyDescent="0.35">
      <c r="A121" s="12">
        <v>44154</v>
      </c>
      <c r="B121" s="2" t="s">
        <v>6</v>
      </c>
      <c r="C121" s="2" t="s">
        <v>7</v>
      </c>
      <c r="D121" s="9">
        <v>10710928</v>
      </c>
      <c r="E121" s="2" t="s">
        <v>8</v>
      </c>
      <c r="F121" s="6">
        <v>47</v>
      </c>
    </row>
    <row r="122" spans="1:6" x14ac:dyDescent="0.35">
      <c r="A122" s="12">
        <v>44154</v>
      </c>
      <c r="B122" s="2" t="s">
        <v>11</v>
      </c>
      <c r="C122" s="2" t="s">
        <v>12</v>
      </c>
      <c r="D122" s="9">
        <v>6347297</v>
      </c>
      <c r="E122" s="2" t="s">
        <v>8</v>
      </c>
      <c r="F122" s="6">
        <v>47</v>
      </c>
    </row>
    <row r="123" spans="1:6" x14ac:dyDescent="0.35">
      <c r="A123" s="12">
        <v>44154</v>
      </c>
      <c r="B123" s="2" t="s">
        <v>19</v>
      </c>
      <c r="C123" s="2" t="s">
        <v>20</v>
      </c>
      <c r="D123" s="9">
        <v>6085366</v>
      </c>
      <c r="E123" s="2" t="s">
        <v>8</v>
      </c>
      <c r="F123" s="6">
        <v>47</v>
      </c>
    </row>
    <row r="124" spans="1:6" x14ac:dyDescent="0.35">
      <c r="A124" s="12">
        <v>44154</v>
      </c>
      <c r="B124" s="2" t="s">
        <v>9</v>
      </c>
      <c r="C124" s="2" t="s">
        <v>10</v>
      </c>
      <c r="D124" s="9">
        <v>8260126</v>
      </c>
      <c r="E124" s="2" t="s">
        <v>8</v>
      </c>
      <c r="F124" s="6">
        <v>47</v>
      </c>
    </row>
    <row r="125" spans="1:6" x14ac:dyDescent="0.35">
      <c r="A125" s="12">
        <v>44154</v>
      </c>
      <c r="B125" s="2" t="s">
        <v>13</v>
      </c>
      <c r="C125" s="2" t="s">
        <v>14</v>
      </c>
      <c r="D125" s="9">
        <v>6245707</v>
      </c>
      <c r="E125" s="2" t="s">
        <v>8</v>
      </c>
      <c r="F125" s="6">
        <v>47</v>
      </c>
    </row>
    <row r="126" spans="1:6" x14ac:dyDescent="0.35">
      <c r="A126" s="12">
        <v>44154</v>
      </c>
      <c r="B126" s="2" t="s">
        <v>15</v>
      </c>
      <c r="C126" s="2" t="s">
        <v>16</v>
      </c>
      <c r="D126" s="9">
        <v>7008578</v>
      </c>
      <c r="E126" s="2" t="s">
        <v>8</v>
      </c>
      <c r="F126" s="6">
        <v>47</v>
      </c>
    </row>
    <row r="127" spans="1:6" x14ac:dyDescent="0.35">
      <c r="A127" s="12">
        <v>44161</v>
      </c>
      <c r="B127" s="2" t="s">
        <v>6</v>
      </c>
      <c r="C127" s="2" t="s">
        <v>7</v>
      </c>
      <c r="D127" s="9">
        <v>17049383</v>
      </c>
      <c r="E127" s="2" t="s">
        <v>8</v>
      </c>
      <c r="F127" s="6">
        <v>48</v>
      </c>
    </row>
    <row r="128" spans="1:6" x14ac:dyDescent="0.35">
      <c r="A128" s="12">
        <v>44161</v>
      </c>
      <c r="B128" s="2" t="s">
        <v>17</v>
      </c>
      <c r="C128" s="2" t="s">
        <v>18</v>
      </c>
      <c r="D128" s="9">
        <v>5829640</v>
      </c>
      <c r="E128" s="2" t="s">
        <v>8</v>
      </c>
      <c r="F128" s="6">
        <v>48</v>
      </c>
    </row>
    <row r="129" spans="1:6" x14ac:dyDescent="0.35">
      <c r="A129" s="12">
        <v>44161</v>
      </c>
      <c r="B129" s="2" t="s">
        <v>11</v>
      </c>
      <c r="C129" s="2" t="s">
        <v>12</v>
      </c>
      <c r="D129" s="9">
        <v>10582983</v>
      </c>
      <c r="E129" s="2" t="s">
        <v>8</v>
      </c>
      <c r="F129" s="6">
        <v>48</v>
      </c>
    </row>
    <row r="130" spans="1:6" x14ac:dyDescent="0.35">
      <c r="A130" s="12">
        <v>44161</v>
      </c>
      <c r="B130" s="2" t="s">
        <v>19</v>
      </c>
      <c r="C130" s="2" t="s">
        <v>20</v>
      </c>
      <c r="D130" s="9">
        <v>9678255</v>
      </c>
      <c r="E130" s="2" t="s">
        <v>8</v>
      </c>
      <c r="F130" s="6">
        <v>48</v>
      </c>
    </row>
    <row r="131" spans="1:6" x14ac:dyDescent="0.35">
      <c r="A131" s="12">
        <v>44161</v>
      </c>
      <c r="B131" s="2" t="s">
        <v>9</v>
      </c>
      <c r="C131" s="2" t="s">
        <v>10</v>
      </c>
      <c r="D131" s="9">
        <v>13660931</v>
      </c>
      <c r="E131" s="2" t="s">
        <v>8</v>
      </c>
      <c r="F131" s="6">
        <v>48</v>
      </c>
    </row>
    <row r="132" spans="1:6" x14ac:dyDescent="0.35">
      <c r="A132" s="12">
        <v>44161</v>
      </c>
      <c r="B132" s="2" t="s">
        <v>13</v>
      </c>
      <c r="C132" s="2" t="s">
        <v>14</v>
      </c>
      <c r="D132" s="9">
        <v>9913441</v>
      </c>
      <c r="E132" s="2" t="s">
        <v>8</v>
      </c>
      <c r="F132" s="6">
        <v>48</v>
      </c>
    </row>
    <row r="133" spans="1:6" x14ac:dyDescent="0.35">
      <c r="A133" s="12">
        <v>44161</v>
      </c>
      <c r="B133" s="2" t="s">
        <v>15</v>
      </c>
      <c r="C133" s="2" t="s">
        <v>16</v>
      </c>
      <c r="D133" s="9">
        <v>11284097</v>
      </c>
      <c r="E133" s="2" t="s">
        <v>8</v>
      </c>
      <c r="F133" s="6">
        <v>48</v>
      </c>
    </row>
    <row r="134" spans="1:6" x14ac:dyDescent="0.35">
      <c r="A134" s="12">
        <v>44168</v>
      </c>
      <c r="B134" s="2" t="s">
        <v>6</v>
      </c>
      <c r="C134" s="2" t="s">
        <v>7</v>
      </c>
      <c r="D134" s="9">
        <v>28851001</v>
      </c>
      <c r="E134" s="2" t="s">
        <v>8</v>
      </c>
      <c r="F134" s="6">
        <v>49</v>
      </c>
    </row>
    <row r="135" spans="1:6" x14ac:dyDescent="0.35">
      <c r="A135" s="12">
        <v>44168</v>
      </c>
      <c r="B135" s="2" t="s">
        <v>17</v>
      </c>
      <c r="C135" s="2" t="s">
        <v>18</v>
      </c>
      <c r="D135" s="9">
        <v>11016398</v>
      </c>
      <c r="E135" s="2" t="s">
        <v>8</v>
      </c>
      <c r="F135" s="6">
        <v>49</v>
      </c>
    </row>
    <row r="136" spans="1:6" x14ac:dyDescent="0.35">
      <c r="A136" s="12">
        <v>44168</v>
      </c>
      <c r="B136" s="2" t="s">
        <v>11</v>
      </c>
      <c r="C136" s="2" t="s">
        <v>12</v>
      </c>
      <c r="D136" s="9">
        <v>19245044</v>
      </c>
      <c r="E136" s="2" t="s">
        <v>8</v>
      </c>
      <c r="F136" s="6">
        <v>49</v>
      </c>
    </row>
    <row r="137" spans="1:6" x14ac:dyDescent="0.35">
      <c r="A137" s="12">
        <v>44168</v>
      </c>
      <c r="B137" s="2" t="s">
        <v>19</v>
      </c>
      <c r="C137" s="2" t="s">
        <v>20</v>
      </c>
      <c r="D137" s="9">
        <v>17455348</v>
      </c>
      <c r="E137" s="2" t="s">
        <v>8</v>
      </c>
      <c r="F137" s="6">
        <v>49</v>
      </c>
    </row>
    <row r="138" spans="1:6" x14ac:dyDescent="0.35">
      <c r="A138" s="12">
        <v>44168</v>
      </c>
      <c r="B138" s="2" t="s">
        <v>9</v>
      </c>
      <c r="C138" s="2" t="s">
        <v>10</v>
      </c>
      <c r="D138" s="9">
        <v>24561977</v>
      </c>
      <c r="E138" s="2" t="s">
        <v>8</v>
      </c>
      <c r="F138" s="6">
        <v>49</v>
      </c>
    </row>
    <row r="139" spans="1:6" x14ac:dyDescent="0.35">
      <c r="A139" s="12">
        <v>44168</v>
      </c>
      <c r="B139" s="2" t="s">
        <v>13</v>
      </c>
      <c r="C139" s="2" t="s">
        <v>14</v>
      </c>
      <c r="D139" s="9">
        <v>17910786</v>
      </c>
      <c r="E139" s="2" t="s">
        <v>8</v>
      </c>
      <c r="F139" s="6">
        <v>49</v>
      </c>
    </row>
    <row r="140" spans="1:6" x14ac:dyDescent="0.35">
      <c r="A140" s="12">
        <v>44168</v>
      </c>
      <c r="B140" s="2" t="s">
        <v>15</v>
      </c>
      <c r="C140" s="2" t="s">
        <v>16</v>
      </c>
      <c r="D140" s="9">
        <v>20098148</v>
      </c>
      <c r="E140" s="2" t="s">
        <v>8</v>
      </c>
      <c r="F140" s="6">
        <v>49</v>
      </c>
    </row>
    <row r="141" spans="1:6" x14ac:dyDescent="0.35">
      <c r="A141" s="12">
        <v>44175</v>
      </c>
      <c r="B141" s="2" t="s">
        <v>6</v>
      </c>
      <c r="C141" s="2" t="s">
        <v>7</v>
      </c>
      <c r="D141" s="9">
        <v>33463486</v>
      </c>
      <c r="E141" s="2" t="s">
        <v>8</v>
      </c>
      <c r="F141" s="6">
        <v>50</v>
      </c>
    </row>
    <row r="142" spans="1:6" x14ac:dyDescent="0.35">
      <c r="A142" s="12">
        <v>44175</v>
      </c>
      <c r="B142" s="2" t="s">
        <v>17</v>
      </c>
      <c r="C142" s="2" t="s">
        <v>18</v>
      </c>
      <c r="D142" s="9">
        <v>13437547</v>
      </c>
      <c r="E142" s="2" t="s">
        <v>8</v>
      </c>
      <c r="F142" s="6">
        <v>50</v>
      </c>
    </row>
    <row r="143" spans="1:6" x14ac:dyDescent="0.35">
      <c r="A143" s="12">
        <v>44175</v>
      </c>
      <c r="B143" s="2" t="s">
        <v>11</v>
      </c>
      <c r="C143" s="2" t="s">
        <v>12</v>
      </c>
      <c r="D143" s="9">
        <v>22257026</v>
      </c>
      <c r="E143" s="2" t="s">
        <v>8</v>
      </c>
      <c r="F143" s="6">
        <v>50</v>
      </c>
    </row>
    <row r="144" spans="1:6" x14ac:dyDescent="0.35">
      <c r="A144" s="12">
        <v>44175</v>
      </c>
      <c r="B144" s="2" t="s">
        <v>19</v>
      </c>
      <c r="C144" s="2" t="s">
        <v>20</v>
      </c>
      <c r="D144" s="9">
        <v>20577119</v>
      </c>
      <c r="E144" s="2" t="s">
        <v>8</v>
      </c>
      <c r="F144" s="6">
        <v>50</v>
      </c>
    </row>
    <row r="145" spans="1:6" x14ac:dyDescent="0.35">
      <c r="A145" s="12">
        <v>44175</v>
      </c>
      <c r="B145" s="2" t="s">
        <v>9</v>
      </c>
      <c r="C145" s="2" t="s">
        <v>10</v>
      </c>
      <c r="D145" s="9">
        <v>28540616</v>
      </c>
      <c r="E145" s="2" t="s">
        <v>8</v>
      </c>
      <c r="F145" s="6">
        <v>50</v>
      </c>
    </row>
    <row r="146" spans="1:6" x14ac:dyDescent="0.35">
      <c r="A146" s="12">
        <v>44175</v>
      </c>
      <c r="B146" s="2" t="s">
        <v>13</v>
      </c>
      <c r="C146" s="2" t="s">
        <v>14</v>
      </c>
      <c r="D146" s="9">
        <v>21702857</v>
      </c>
      <c r="E146" s="2" t="s">
        <v>8</v>
      </c>
      <c r="F146" s="6">
        <v>50</v>
      </c>
    </row>
    <row r="147" spans="1:6" x14ac:dyDescent="0.35">
      <c r="A147" s="12">
        <v>44175</v>
      </c>
      <c r="B147" s="2" t="s">
        <v>15</v>
      </c>
      <c r="C147" s="2" t="s">
        <v>16</v>
      </c>
      <c r="D147" s="9">
        <v>23873167</v>
      </c>
      <c r="E147" s="2" t="s">
        <v>8</v>
      </c>
      <c r="F147" s="6">
        <v>50</v>
      </c>
    </row>
    <row r="148" spans="1:6" x14ac:dyDescent="0.35">
      <c r="A148" s="12">
        <v>44182</v>
      </c>
      <c r="B148" s="2" t="s">
        <v>6</v>
      </c>
      <c r="C148" s="2" t="s">
        <v>7</v>
      </c>
      <c r="D148" s="9">
        <v>32556355</v>
      </c>
      <c r="E148" s="2" t="s">
        <v>8</v>
      </c>
      <c r="F148" s="6">
        <v>51</v>
      </c>
    </row>
    <row r="149" spans="1:6" x14ac:dyDescent="0.35">
      <c r="A149" s="12">
        <v>44182</v>
      </c>
      <c r="B149" s="2" t="s">
        <v>17</v>
      </c>
      <c r="C149" s="2" t="s">
        <v>18</v>
      </c>
      <c r="D149" s="9">
        <v>14043735</v>
      </c>
      <c r="E149" s="2" t="s">
        <v>8</v>
      </c>
      <c r="F149" s="6">
        <v>51</v>
      </c>
    </row>
    <row r="150" spans="1:6" x14ac:dyDescent="0.35">
      <c r="A150" s="12">
        <v>44182</v>
      </c>
      <c r="B150" s="2" t="s">
        <v>11</v>
      </c>
      <c r="C150" s="2" t="s">
        <v>12</v>
      </c>
      <c r="D150" s="9">
        <v>21728075</v>
      </c>
      <c r="E150" s="2" t="s">
        <v>8</v>
      </c>
      <c r="F150" s="6">
        <v>51</v>
      </c>
    </row>
    <row r="151" spans="1:6" x14ac:dyDescent="0.35">
      <c r="A151" s="12">
        <v>44182</v>
      </c>
      <c r="B151" s="2" t="s">
        <v>19</v>
      </c>
      <c r="C151" s="2" t="s">
        <v>20</v>
      </c>
      <c r="D151" s="9">
        <v>21034789</v>
      </c>
      <c r="E151" s="2" t="s">
        <v>8</v>
      </c>
      <c r="F151" s="6">
        <v>51</v>
      </c>
    </row>
    <row r="152" spans="1:6" x14ac:dyDescent="0.35">
      <c r="A152" s="12">
        <v>44182</v>
      </c>
      <c r="B152" s="2" t="s">
        <v>9</v>
      </c>
      <c r="C152" s="2" t="s">
        <v>10</v>
      </c>
      <c r="D152" s="9">
        <v>28682836</v>
      </c>
      <c r="E152" s="2" t="s">
        <v>8</v>
      </c>
      <c r="F152" s="6">
        <v>51</v>
      </c>
    </row>
    <row r="153" spans="1:6" x14ac:dyDescent="0.35">
      <c r="A153" s="12">
        <v>44182</v>
      </c>
      <c r="B153" s="2" t="s">
        <v>13</v>
      </c>
      <c r="C153" s="2" t="s">
        <v>14</v>
      </c>
      <c r="D153" s="9">
        <v>22518877</v>
      </c>
      <c r="E153" s="2" t="s">
        <v>8</v>
      </c>
      <c r="F153" s="6">
        <v>51</v>
      </c>
    </row>
    <row r="154" spans="1:6" x14ac:dyDescent="0.35">
      <c r="A154" s="12">
        <v>44182</v>
      </c>
      <c r="B154" s="2" t="s">
        <v>15</v>
      </c>
      <c r="C154" s="2" t="s">
        <v>16</v>
      </c>
      <c r="D154" s="9">
        <v>23649501</v>
      </c>
      <c r="E154" s="2" t="s">
        <v>8</v>
      </c>
      <c r="F154" s="6">
        <v>51</v>
      </c>
    </row>
    <row r="155" spans="1:6" x14ac:dyDescent="0.35">
      <c r="A155" s="12">
        <v>44189</v>
      </c>
      <c r="B155" s="2" t="s">
        <v>6</v>
      </c>
      <c r="C155" s="2" t="s">
        <v>7</v>
      </c>
      <c r="D155" s="9">
        <v>53401383</v>
      </c>
      <c r="E155" s="2" t="s">
        <v>8</v>
      </c>
      <c r="F155" s="6">
        <v>52</v>
      </c>
    </row>
    <row r="156" spans="1:6" x14ac:dyDescent="0.35">
      <c r="A156" s="12">
        <v>44189</v>
      </c>
      <c r="B156" s="2" t="s">
        <v>17</v>
      </c>
      <c r="C156" s="2" t="s">
        <v>18</v>
      </c>
      <c r="D156" s="9">
        <v>24517609</v>
      </c>
      <c r="E156" s="2" t="s">
        <v>8</v>
      </c>
      <c r="F156" s="6">
        <v>52</v>
      </c>
    </row>
    <row r="157" spans="1:6" x14ac:dyDescent="0.35">
      <c r="A157" s="12">
        <v>44189</v>
      </c>
      <c r="B157" s="2" t="s">
        <v>11</v>
      </c>
      <c r="C157" s="2" t="s">
        <v>12</v>
      </c>
      <c r="D157" s="9">
        <v>36227377</v>
      </c>
      <c r="E157" s="2" t="s">
        <v>8</v>
      </c>
      <c r="F157" s="6">
        <v>52</v>
      </c>
    </row>
    <row r="158" spans="1:6" x14ac:dyDescent="0.35">
      <c r="A158" s="12">
        <v>44189</v>
      </c>
      <c r="B158" s="2" t="s">
        <v>19</v>
      </c>
      <c r="C158" s="2" t="s">
        <v>20</v>
      </c>
      <c r="D158" s="9">
        <v>36117097</v>
      </c>
      <c r="E158" s="2" t="s">
        <v>8</v>
      </c>
      <c r="F158" s="6">
        <v>52</v>
      </c>
    </row>
    <row r="159" spans="1:6" x14ac:dyDescent="0.35">
      <c r="A159" s="12">
        <v>44189</v>
      </c>
      <c r="B159" s="2" t="s">
        <v>9</v>
      </c>
      <c r="C159" s="2" t="s">
        <v>10</v>
      </c>
      <c r="D159" s="9">
        <v>48011162</v>
      </c>
      <c r="E159" s="2" t="s">
        <v>8</v>
      </c>
      <c r="F159" s="6">
        <v>52</v>
      </c>
    </row>
    <row r="160" spans="1:6" x14ac:dyDescent="0.35">
      <c r="A160" s="12">
        <v>44189</v>
      </c>
      <c r="B160" s="2" t="s">
        <v>13</v>
      </c>
      <c r="C160" s="2" t="s">
        <v>14</v>
      </c>
      <c r="D160" s="9">
        <v>37323134</v>
      </c>
      <c r="E160" s="2" t="s">
        <v>8</v>
      </c>
      <c r="F160" s="6">
        <v>52</v>
      </c>
    </row>
    <row r="161" spans="1:6" x14ac:dyDescent="0.35">
      <c r="A161" s="12">
        <v>44189</v>
      </c>
      <c r="B161" s="2" t="s">
        <v>15</v>
      </c>
      <c r="C161" s="2" t="s">
        <v>16</v>
      </c>
      <c r="D161" s="9">
        <v>38503261</v>
      </c>
      <c r="E161" s="2" t="s">
        <v>8</v>
      </c>
      <c r="F161" s="6">
        <v>52</v>
      </c>
    </row>
    <row r="162" spans="1:6" x14ac:dyDescent="0.35">
      <c r="A162" s="12">
        <v>44196</v>
      </c>
      <c r="B162" s="2" t="s">
        <v>6</v>
      </c>
      <c r="C162" s="2" t="s">
        <v>7</v>
      </c>
      <c r="D162" s="9">
        <v>23235257</v>
      </c>
      <c r="E162" s="2" t="s">
        <v>8</v>
      </c>
      <c r="F162" s="6">
        <v>53</v>
      </c>
    </row>
    <row r="163" spans="1:6" x14ac:dyDescent="0.35">
      <c r="A163" s="12">
        <v>44196</v>
      </c>
      <c r="B163" s="2" t="s">
        <v>17</v>
      </c>
      <c r="C163" s="2" t="s">
        <v>18</v>
      </c>
      <c r="D163" s="9">
        <v>11664490</v>
      </c>
      <c r="E163" s="2" t="s">
        <v>8</v>
      </c>
      <c r="F163" s="6">
        <v>53</v>
      </c>
    </row>
    <row r="164" spans="1:6" x14ac:dyDescent="0.35">
      <c r="A164" s="12">
        <v>44196</v>
      </c>
      <c r="B164" s="2" t="s">
        <v>11</v>
      </c>
      <c r="C164" s="2" t="s">
        <v>12</v>
      </c>
      <c r="D164" s="9">
        <v>15424001</v>
      </c>
      <c r="E164" s="2" t="s">
        <v>8</v>
      </c>
      <c r="F164" s="6">
        <v>53</v>
      </c>
    </row>
    <row r="165" spans="1:6" x14ac:dyDescent="0.35">
      <c r="A165" s="12">
        <v>44196</v>
      </c>
      <c r="B165" s="2" t="s">
        <v>19</v>
      </c>
      <c r="C165" s="2" t="s">
        <v>20</v>
      </c>
      <c r="D165" s="9">
        <v>16527404</v>
      </c>
      <c r="E165" s="2" t="s">
        <v>8</v>
      </c>
      <c r="F165" s="6">
        <v>53</v>
      </c>
    </row>
    <row r="166" spans="1:6" x14ac:dyDescent="0.35">
      <c r="A166" s="12">
        <v>44196</v>
      </c>
      <c r="B166" s="2" t="s">
        <v>9</v>
      </c>
      <c r="C166" s="2" t="s">
        <v>10</v>
      </c>
      <c r="D166" s="9">
        <v>20709328</v>
      </c>
      <c r="E166" s="2" t="s">
        <v>8</v>
      </c>
      <c r="F166" s="6">
        <v>53</v>
      </c>
    </row>
    <row r="167" spans="1:6" x14ac:dyDescent="0.35">
      <c r="A167" s="12">
        <v>44196</v>
      </c>
      <c r="B167" s="2" t="s">
        <v>13</v>
      </c>
      <c r="C167" s="2" t="s">
        <v>14</v>
      </c>
      <c r="D167" s="9">
        <v>16613649</v>
      </c>
      <c r="E167" s="2" t="s">
        <v>8</v>
      </c>
      <c r="F167" s="6">
        <v>53</v>
      </c>
    </row>
    <row r="168" spans="1:6" x14ac:dyDescent="0.35">
      <c r="A168" s="12">
        <v>44196</v>
      </c>
      <c r="B168" s="2" t="s">
        <v>15</v>
      </c>
      <c r="C168" s="2" t="s">
        <v>16</v>
      </c>
      <c r="D168" s="9">
        <v>16657592</v>
      </c>
      <c r="E168" s="2" t="s">
        <v>8</v>
      </c>
      <c r="F168" s="6">
        <v>53</v>
      </c>
    </row>
    <row r="169" spans="1:6" x14ac:dyDescent="0.35">
      <c r="A169" s="12">
        <v>44511</v>
      </c>
      <c r="B169" s="2" t="s">
        <v>6</v>
      </c>
      <c r="C169" s="2" t="s">
        <v>7</v>
      </c>
      <c r="D169" s="9">
        <v>6622750</v>
      </c>
      <c r="E169" s="2" t="s">
        <v>8</v>
      </c>
      <c r="F169" s="6">
        <v>45</v>
      </c>
    </row>
    <row r="170" spans="1:6" x14ac:dyDescent="0.35">
      <c r="A170" s="12">
        <v>44518</v>
      </c>
      <c r="B170" s="2" t="s">
        <v>6</v>
      </c>
      <c r="C170" s="2" t="s">
        <v>7</v>
      </c>
      <c r="D170" s="9">
        <v>8932970</v>
      </c>
      <c r="E170" s="2" t="s">
        <v>8</v>
      </c>
      <c r="F170" s="6">
        <v>46</v>
      </c>
    </row>
    <row r="171" spans="1:6" x14ac:dyDescent="0.35">
      <c r="A171" s="12">
        <v>44518</v>
      </c>
      <c r="B171" s="2" t="s">
        <v>9</v>
      </c>
      <c r="C171" s="2" t="s">
        <v>10</v>
      </c>
      <c r="D171" s="9">
        <v>6197013</v>
      </c>
      <c r="E171" s="2" t="s">
        <v>8</v>
      </c>
      <c r="F171" s="6">
        <v>46</v>
      </c>
    </row>
    <row r="172" spans="1:6" x14ac:dyDescent="0.35">
      <c r="A172" s="12">
        <v>44525</v>
      </c>
      <c r="B172" s="2" t="s">
        <v>6</v>
      </c>
      <c r="C172" s="2" t="s">
        <v>7</v>
      </c>
      <c r="D172" s="9">
        <v>13419806</v>
      </c>
      <c r="E172" s="2" t="s">
        <v>8</v>
      </c>
      <c r="F172" s="6">
        <v>47</v>
      </c>
    </row>
    <row r="173" spans="1:6" x14ac:dyDescent="0.35">
      <c r="A173" s="12">
        <v>44525</v>
      </c>
      <c r="B173" s="2" t="s">
        <v>11</v>
      </c>
      <c r="C173" s="2" t="s">
        <v>12</v>
      </c>
      <c r="D173" s="9">
        <v>8230538</v>
      </c>
      <c r="E173" s="2" t="s">
        <v>8</v>
      </c>
      <c r="F173" s="6">
        <v>47</v>
      </c>
    </row>
    <row r="174" spans="1:6" x14ac:dyDescent="0.35">
      <c r="A174" s="12">
        <v>44525</v>
      </c>
      <c r="B174" s="2" t="s">
        <v>19</v>
      </c>
      <c r="C174" s="2" t="s">
        <v>20</v>
      </c>
      <c r="D174" s="9">
        <v>7804649</v>
      </c>
      <c r="E174" s="2" t="s">
        <v>8</v>
      </c>
      <c r="F174" s="6">
        <v>47</v>
      </c>
    </row>
    <row r="175" spans="1:6" x14ac:dyDescent="0.35">
      <c r="A175" s="12">
        <v>44525</v>
      </c>
      <c r="B175" s="2" t="s">
        <v>9</v>
      </c>
      <c r="C175" s="2" t="s">
        <v>10</v>
      </c>
      <c r="D175" s="9">
        <v>9852395</v>
      </c>
      <c r="E175" s="2" t="s">
        <v>8</v>
      </c>
      <c r="F175" s="6">
        <v>47</v>
      </c>
    </row>
    <row r="176" spans="1:6" x14ac:dyDescent="0.35">
      <c r="A176" s="12">
        <v>44525</v>
      </c>
      <c r="B176" s="2" t="s">
        <v>13</v>
      </c>
      <c r="C176" s="2" t="s">
        <v>14</v>
      </c>
      <c r="D176" s="9">
        <v>7417614</v>
      </c>
      <c r="E176" s="2" t="s">
        <v>8</v>
      </c>
      <c r="F176" s="6">
        <v>47</v>
      </c>
    </row>
    <row r="177" spans="1:6" x14ac:dyDescent="0.35">
      <c r="A177" s="12">
        <v>44525</v>
      </c>
      <c r="B177" s="2" t="s">
        <v>15</v>
      </c>
      <c r="C177" s="2" t="s">
        <v>16</v>
      </c>
      <c r="D177" s="9">
        <v>7168631</v>
      </c>
      <c r="E177" s="2" t="s">
        <v>8</v>
      </c>
      <c r="F177" s="6">
        <v>47</v>
      </c>
    </row>
    <row r="178" spans="1:6" x14ac:dyDescent="0.35">
      <c r="A178" s="12">
        <v>44532</v>
      </c>
      <c r="B178" s="2" t="s">
        <v>6</v>
      </c>
      <c r="C178" s="2" t="s">
        <v>7</v>
      </c>
      <c r="D178" s="9">
        <v>24176108</v>
      </c>
      <c r="E178" s="2" t="s">
        <v>8</v>
      </c>
      <c r="F178" s="6">
        <v>48</v>
      </c>
    </row>
    <row r="179" spans="1:6" x14ac:dyDescent="0.35">
      <c r="A179" s="12">
        <v>44532</v>
      </c>
      <c r="B179" s="2" t="s">
        <v>17</v>
      </c>
      <c r="C179" s="2" t="s">
        <v>18</v>
      </c>
      <c r="D179" s="9">
        <v>10073595</v>
      </c>
      <c r="E179" s="2" t="s">
        <v>8</v>
      </c>
      <c r="F179" s="6">
        <v>48</v>
      </c>
    </row>
    <row r="180" spans="1:6" x14ac:dyDescent="0.35">
      <c r="A180" s="12">
        <v>44532</v>
      </c>
      <c r="B180" s="2" t="s">
        <v>11</v>
      </c>
      <c r="C180" s="2" t="s">
        <v>12</v>
      </c>
      <c r="D180" s="9">
        <v>15504798</v>
      </c>
      <c r="E180" s="2" t="s">
        <v>8</v>
      </c>
      <c r="F180" s="6">
        <v>48</v>
      </c>
    </row>
    <row r="181" spans="1:6" x14ac:dyDescent="0.35">
      <c r="A181" s="12">
        <v>44532</v>
      </c>
      <c r="B181" s="2" t="s">
        <v>19</v>
      </c>
      <c r="C181" s="2" t="s">
        <v>20</v>
      </c>
      <c r="D181" s="9">
        <v>14983449</v>
      </c>
      <c r="E181" s="2" t="s">
        <v>8</v>
      </c>
      <c r="F181" s="6">
        <v>48</v>
      </c>
    </row>
    <row r="182" spans="1:6" x14ac:dyDescent="0.35">
      <c r="A182" s="12">
        <v>44532</v>
      </c>
      <c r="B182" s="2" t="s">
        <v>9</v>
      </c>
      <c r="C182" s="2" t="s">
        <v>10</v>
      </c>
      <c r="D182" s="9">
        <v>19349663</v>
      </c>
      <c r="E182" s="2" t="s">
        <v>8</v>
      </c>
      <c r="F182" s="6">
        <v>48</v>
      </c>
    </row>
    <row r="183" spans="1:6" x14ac:dyDescent="0.35">
      <c r="A183" s="12">
        <v>44532</v>
      </c>
      <c r="B183" s="2" t="s">
        <v>13</v>
      </c>
      <c r="C183" s="2" t="s">
        <v>14</v>
      </c>
      <c r="D183" s="9">
        <v>14460190</v>
      </c>
      <c r="E183" s="2" t="s">
        <v>8</v>
      </c>
      <c r="F183" s="6">
        <v>48</v>
      </c>
    </row>
    <row r="184" spans="1:6" x14ac:dyDescent="0.35">
      <c r="A184" s="12">
        <v>44532</v>
      </c>
      <c r="B184" s="2" t="s">
        <v>15</v>
      </c>
      <c r="C184" s="2" t="s">
        <v>16</v>
      </c>
      <c r="D184" s="9">
        <v>13437236</v>
      </c>
      <c r="E184" s="2" t="s">
        <v>8</v>
      </c>
      <c r="F184" s="6">
        <v>48</v>
      </c>
    </row>
    <row r="185" spans="1:6" x14ac:dyDescent="0.35">
      <c r="A185" s="12">
        <v>44539</v>
      </c>
      <c r="B185" s="2" t="s">
        <v>6</v>
      </c>
      <c r="C185" s="2" t="s">
        <v>7</v>
      </c>
      <c r="D185" s="9">
        <v>30344322</v>
      </c>
      <c r="E185" s="2" t="s">
        <v>8</v>
      </c>
      <c r="F185" s="6">
        <v>49</v>
      </c>
    </row>
    <row r="186" spans="1:6" x14ac:dyDescent="0.35">
      <c r="A186" s="12">
        <v>44539</v>
      </c>
      <c r="B186" s="2" t="s">
        <v>17</v>
      </c>
      <c r="C186" s="2" t="s">
        <v>18</v>
      </c>
      <c r="D186" s="9">
        <v>13402203</v>
      </c>
      <c r="E186" s="2" t="s">
        <v>8</v>
      </c>
      <c r="F186" s="6">
        <v>49</v>
      </c>
    </row>
    <row r="187" spans="1:6" x14ac:dyDescent="0.35">
      <c r="A187" s="12">
        <v>44539</v>
      </c>
      <c r="B187" s="2" t="s">
        <v>11</v>
      </c>
      <c r="C187" s="2" t="s">
        <v>12</v>
      </c>
      <c r="D187" s="9">
        <v>19902694</v>
      </c>
      <c r="E187" s="2" t="s">
        <v>8</v>
      </c>
      <c r="F187" s="6">
        <v>49</v>
      </c>
    </row>
    <row r="188" spans="1:6" x14ac:dyDescent="0.35">
      <c r="A188" s="12">
        <v>44539</v>
      </c>
      <c r="B188" s="2" t="s">
        <v>19</v>
      </c>
      <c r="C188" s="2" t="s">
        <v>20</v>
      </c>
      <c r="D188" s="9">
        <v>19754610</v>
      </c>
      <c r="E188" s="2" t="s">
        <v>8</v>
      </c>
      <c r="F188" s="6">
        <v>49</v>
      </c>
    </row>
    <row r="189" spans="1:6" x14ac:dyDescent="0.35">
      <c r="A189" s="12">
        <v>44539</v>
      </c>
      <c r="B189" s="2" t="s">
        <v>9</v>
      </c>
      <c r="C189" s="2" t="s">
        <v>10</v>
      </c>
      <c r="D189" s="9">
        <v>24943790</v>
      </c>
      <c r="E189" s="2" t="s">
        <v>8</v>
      </c>
      <c r="F189" s="6">
        <v>49</v>
      </c>
    </row>
    <row r="190" spans="1:6" x14ac:dyDescent="0.35">
      <c r="A190" s="12">
        <v>44539</v>
      </c>
      <c r="B190" s="2" t="s">
        <v>13</v>
      </c>
      <c r="C190" s="2" t="s">
        <v>14</v>
      </c>
      <c r="D190" s="9">
        <v>19430205</v>
      </c>
      <c r="E190" s="2" t="s">
        <v>8</v>
      </c>
      <c r="F190" s="6">
        <v>49</v>
      </c>
    </row>
    <row r="191" spans="1:6" x14ac:dyDescent="0.35">
      <c r="A191" s="12">
        <v>44539</v>
      </c>
      <c r="B191" s="2" t="s">
        <v>15</v>
      </c>
      <c r="C191" s="2" t="s">
        <v>16</v>
      </c>
      <c r="D191" s="9">
        <v>17670168</v>
      </c>
      <c r="E191" s="2" t="s">
        <v>8</v>
      </c>
      <c r="F191" s="6">
        <v>49</v>
      </c>
    </row>
    <row r="192" spans="1:6" x14ac:dyDescent="0.35">
      <c r="A192" s="12">
        <v>44546</v>
      </c>
      <c r="B192" s="2" t="s">
        <v>6</v>
      </c>
      <c r="C192" s="2" t="s">
        <v>7</v>
      </c>
      <c r="D192" s="9">
        <v>32175593</v>
      </c>
      <c r="E192" s="2" t="s">
        <v>8</v>
      </c>
      <c r="F192" s="6">
        <v>50</v>
      </c>
    </row>
    <row r="193" spans="1:6" x14ac:dyDescent="0.35">
      <c r="A193" s="12">
        <v>44546</v>
      </c>
      <c r="B193" s="2" t="s">
        <v>17</v>
      </c>
      <c r="C193" s="2" t="s">
        <v>18</v>
      </c>
      <c r="D193" s="9">
        <v>15099567</v>
      </c>
      <c r="E193" s="2" t="s">
        <v>8</v>
      </c>
      <c r="F193" s="6">
        <v>50</v>
      </c>
    </row>
    <row r="194" spans="1:6" x14ac:dyDescent="0.35">
      <c r="A194" s="12">
        <v>44546</v>
      </c>
      <c r="B194" s="2" t="s">
        <v>11</v>
      </c>
      <c r="C194" s="2" t="s">
        <v>12</v>
      </c>
      <c r="D194" s="9">
        <v>21259884</v>
      </c>
      <c r="E194" s="2" t="s">
        <v>8</v>
      </c>
      <c r="F194" s="6">
        <v>50</v>
      </c>
    </row>
    <row r="195" spans="1:6" x14ac:dyDescent="0.35">
      <c r="A195" s="12">
        <v>44546</v>
      </c>
      <c r="B195" s="2" t="s">
        <v>19</v>
      </c>
      <c r="C195" s="2" t="s">
        <v>20</v>
      </c>
      <c r="D195" s="9">
        <v>21479503</v>
      </c>
      <c r="E195" s="2" t="s">
        <v>8</v>
      </c>
      <c r="F195" s="6">
        <v>50</v>
      </c>
    </row>
    <row r="196" spans="1:6" x14ac:dyDescent="0.35">
      <c r="A196" s="12">
        <v>44546</v>
      </c>
      <c r="B196" s="2" t="s">
        <v>9</v>
      </c>
      <c r="C196" s="2" t="s">
        <v>10</v>
      </c>
      <c r="D196" s="9">
        <v>27077848</v>
      </c>
      <c r="E196" s="2" t="s">
        <v>8</v>
      </c>
      <c r="F196" s="6">
        <v>50</v>
      </c>
    </row>
    <row r="197" spans="1:6" x14ac:dyDescent="0.35">
      <c r="A197" s="12">
        <v>44546</v>
      </c>
      <c r="B197" s="2" t="s">
        <v>13</v>
      </c>
      <c r="C197" s="2" t="s">
        <v>14</v>
      </c>
      <c r="D197" s="9">
        <v>22095540</v>
      </c>
      <c r="E197" s="2" t="s">
        <v>8</v>
      </c>
      <c r="F197" s="6">
        <v>50</v>
      </c>
    </row>
    <row r="198" spans="1:6" x14ac:dyDescent="0.35">
      <c r="A198" s="12">
        <v>44546</v>
      </c>
      <c r="B198" s="2" t="s">
        <v>15</v>
      </c>
      <c r="C198" s="2" t="s">
        <v>16</v>
      </c>
      <c r="D198" s="9">
        <v>19655526</v>
      </c>
      <c r="E198" s="2" t="s">
        <v>8</v>
      </c>
      <c r="F198" s="6">
        <v>50</v>
      </c>
    </row>
    <row r="199" spans="1:6" x14ac:dyDescent="0.35">
      <c r="A199" s="12">
        <v>44553</v>
      </c>
      <c r="B199" s="2" t="s">
        <v>6</v>
      </c>
      <c r="C199" s="2" t="s">
        <v>7</v>
      </c>
      <c r="D199" s="9">
        <v>41518285</v>
      </c>
      <c r="E199" s="2" t="s">
        <v>8</v>
      </c>
      <c r="F199" s="6">
        <v>51</v>
      </c>
    </row>
    <row r="200" spans="1:6" x14ac:dyDescent="0.35">
      <c r="A200" s="12">
        <v>44553</v>
      </c>
      <c r="B200" s="2" t="s">
        <v>17</v>
      </c>
      <c r="C200" s="2" t="s">
        <v>18</v>
      </c>
      <c r="D200" s="9">
        <v>20663443</v>
      </c>
      <c r="E200" s="2" t="s">
        <v>8</v>
      </c>
      <c r="F200" s="6">
        <v>51</v>
      </c>
    </row>
    <row r="201" spans="1:6" x14ac:dyDescent="0.35">
      <c r="A201" s="12">
        <v>44553</v>
      </c>
      <c r="B201" s="2" t="s">
        <v>11</v>
      </c>
      <c r="C201" s="2" t="s">
        <v>12</v>
      </c>
      <c r="D201" s="9">
        <v>27551436</v>
      </c>
      <c r="E201" s="2" t="s">
        <v>8</v>
      </c>
      <c r="F201" s="6">
        <v>51</v>
      </c>
    </row>
    <row r="202" spans="1:6" x14ac:dyDescent="0.35">
      <c r="A202" s="12">
        <v>44553</v>
      </c>
      <c r="B202" s="2" t="s">
        <v>19</v>
      </c>
      <c r="C202" s="2" t="s">
        <v>20</v>
      </c>
      <c r="D202" s="9">
        <v>28959509</v>
      </c>
      <c r="E202" s="2" t="s">
        <v>8</v>
      </c>
      <c r="F202" s="6">
        <v>51</v>
      </c>
    </row>
    <row r="203" spans="1:6" x14ac:dyDescent="0.35">
      <c r="A203" s="12">
        <v>44553</v>
      </c>
      <c r="B203" s="2" t="s">
        <v>9</v>
      </c>
      <c r="C203" s="2" t="s">
        <v>10</v>
      </c>
      <c r="D203" s="9">
        <v>36107065</v>
      </c>
      <c r="E203" s="2" t="s">
        <v>8</v>
      </c>
      <c r="F203" s="6">
        <v>51</v>
      </c>
    </row>
    <row r="204" spans="1:6" x14ac:dyDescent="0.35">
      <c r="A204" s="12">
        <v>44553</v>
      </c>
      <c r="B204" s="2" t="s">
        <v>13</v>
      </c>
      <c r="C204" s="2" t="s">
        <v>14</v>
      </c>
      <c r="D204" s="9">
        <v>30343074</v>
      </c>
      <c r="E204" s="2" t="s">
        <v>8</v>
      </c>
      <c r="F204" s="6">
        <v>51</v>
      </c>
    </row>
    <row r="205" spans="1:6" x14ac:dyDescent="0.35">
      <c r="A205" s="12">
        <v>44553</v>
      </c>
      <c r="B205" s="2" t="s">
        <v>15</v>
      </c>
      <c r="C205" s="2" t="s">
        <v>16</v>
      </c>
      <c r="D205" s="9">
        <v>25964611</v>
      </c>
      <c r="E205" s="2" t="s">
        <v>8</v>
      </c>
      <c r="F205" s="6">
        <v>51</v>
      </c>
    </row>
    <row r="206" spans="1:6" x14ac:dyDescent="0.35">
      <c r="A206" s="12">
        <v>44560</v>
      </c>
      <c r="B206" s="2" t="s">
        <v>6</v>
      </c>
      <c r="C206" s="2" t="s">
        <v>7</v>
      </c>
      <c r="D206" s="9">
        <v>38691349</v>
      </c>
      <c r="E206" s="2" t="s">
        <v>8</v>
      </c>
      <c r="F206" s="6">
        <v>52</v>
      </c>
    </row>
    <row r="207" spans="1:6" x14ac:dyDescent="0.35">
      <c r="A207" s="12">
        <v>44560</v>
      </c>
      <c r="B207" s="2" t="s">
        <v>17</v>
      </c>
      <c r="C207" s="2" t="s">
        <v>18</v>
      </c>
      <c r="D207" s="9">
        <v>21021159</v>
      </c>
      <c r="E207" s="2" t="s">
        <v>8</v>
      </c>
      <c r="F207" s="6">
        <v>52</v>
      </c>
    </row>
    <row r="208" spans="1:6" x14ac:dyDescent="0.35">
      <c r="A208" s="12">
        <v>44560</v>
      </c>
      <c r="B208" s="2" t="s">
        <v>11</v>
      </c>
      <c r="C208" s="2" t="s">
        <v>12</v>
      </c>
      <c r="D208" s="9">
        <v>25811527</v>
      </c>
      <c r="E208" s="2" t="s">
        <v>8</v>
      </c>
      <c r="F208" s="6">
        <v>52</v>
      </c>
    </row>
    <row r="209" spans="1:6" x14ac:dyDescent="0.35">
      <c r="A209" s="12">
        <v>44560</v>
      </c>
      <c r="B209" s="2" t="s">
        <v>19</v>
      </c>
      <c r="C209" s="2" t="s">
        <v>20</v>
      </c>
      <c r="D209" s="9">
        <v>27275884</v>
      </c>
      <c r="E209" s="2" t="s">
        <v>8</v>
      </c>
      <c r="F209" s="6">
        <v>52</v>
      </c>
    </row>
    <row r="210" spans="1:6" x14ac:dyDescent="0.35">
      <c r="A210" s="12">
        <v>44560</v>
      </c>
      <c r="B210" s="2" t="s">
        <v>9</v>
      </c>
      <c r="C210" s="2" t="s">
        <v>10</v>
      </c>
      <c r="D210" s="9">
        <v>33973886</v>
      </c>
      <c r="E210" s="2" t="s">
        <v>8</v>
      </c>
      <c r="F210" s="6">
        <v>52</v>
      </c>
    </row>
    <row r="211" spans="1:6" x14ac:dyDescent="0.35">
      <c r="A211" s="12">
        <v>44560</v>
      </c>
      <c r="B211" s="2" t="s">
        <v>13</v>
      </c>
      <c r="C211" s="2" t="s">
        <v>14</v>
      </c>
      <c r="D211" s="9">
        <v>27687876</v>
      </c>
      <c r="E211" s="2" t="s">
        <v>8</v>
      </c>
      <c r="F211" s="6">
        <v>52</v>
      </c>
    </row>
    <row r="212" spans="1:6" x14ac:dyDescent="0.35">
      <c r="A212" s="12">
        <v>44560</v>
      </c>
      <c r="B212" s="2" t="s">
        <v>15</v>
      </c>
      <c r="C212" s="2" t="s">
        <v>16</v>
      </c>
      <c r="D212" s="9">
        <v>23777493</v>
      </c>
      <c r="E212" s="2" t="s">
        <v>8</v>
      </c>
      <c r="F212" s="6">
        <v>52</v>
      </c>
    </row>
    <row r="213" spans="1:6" x14ac:dyDescent="0.35">
      <c r="A213" s="12">
        <v>44875</v>
      </c>
      <c r="B213" s="2" t="s">
        <v>6</v>
      </c>
      <c r="C213" s="2" t="s">
        <v>7</v>
      </c>
      <c r="D213" s="9">
        <v>8569420</v>
      </c>
      <c r="E213" s="2" t="s">
        <v>8</v>
      </c>
      <c r="F213" s="6">
        <v>45</v>
      </c>
    </row>
    <row r="214" spans="1:6" x14ac:dyDescent="0.35">
      <c r="A214" s="12">
        <v>44882</v>
      </c>
      <c r="B214" s="2" t="s">
        <v>6</v>
      </c>
      <c r="C214" s="2" t="s">
        <v>7</v>
      </c>
      <c r="D214" s="9">
        <v>12137477</v>
      </c>
      <c r="E214" s="2" t="s">
        <v>8</v>
      </c>
      <c r="F214" s="6">
        <v>46</v>
      </c>
    </row>
    <row r="215" spans="1:6" x14ac:dyDescent="0.35">
      <c r="A215" s="12">
        <v>44882</v>
      </c>
      <c r="B215" s="2" t="s">
        <v>19</v>
      </c>
      <c r="C215" s="2" t="s">
        <v>20</v>
      </c>
      <c r="D215" s="9">
        <v>7084762</v>
      </c>
      <c r="E215" s="2" t="s">
        <v>8</v>
      </c>
      <c r="F215" s="6">
        <v>46</v>
      </c>
    </row>
    <row r="216" spans="1:6" x14ac:dyDescent="0.35">
      <c r="A216" s="12">
        <v>44882</v>
      </c>
      <c r="B216" s="2" t="s">
        <v>9</v>
      </c>
      <c r="C216" s="2" t="s">
        <v>10</v>
      </c>
      <c r="D216" s="9">
        <v>8237725</v>
      </c>
      <c r="E216" s="2" t="s">
        <v>8</v>
      </c>
      <c r="F216" s="6">
        <v>46</v>
      </c>
    </row>
    <row r="217" spans="1:6" x14ac:dyDescent="0.35">
      <c r="A217" s="12">
        <v>44882</v>
      </c>
      <c r="B217" s="2" t="s">
        <v>13</v>
      </c>
      <c r="C217" s="2" t="s">
        <v>14</v>
      </c>
      <c r="D217" s="9">
        <v>7517013</v>
      </c>
      <c r="E217" s="2" t="s">
        <v>8</v>
      </c>
      <c r="F217" s="6">
        <v>46</v>
      </c>
    </row>
    <row r="218" spans="1:6" x14ac:dyDescent="0.35">
      <c r="A218" s="12">
        <v>44889</v>
      </c>
      <c r="B218" s="2" t="s">
        <v>6</v>
      </c>
      <c r="C218" s="2" t="s">
        <v>7</v>
      </c>
      <c r="D218" s="9">
        <v>18916682</v>
      </c>
      <c r="E218" s="2" t="s">
        <v>8</v>
      </c>
      <c r="F218" s="6">
        <v>47</v>
      </c>
    </row>
    <row r="219" spans="1:6" x14ac:dyDescent="0.35">
      <c r="A219" s="12">
        <v>44889</v>
      </c>
      <c r="B219" s="2" t="s">
        <v>11</v>
      </c>
      <c r="C219" s="2" t="s">
        <v>12</v>
      </c>
      <c r="D219" s="9">
        <v>11312189</v>
      </c>
      <c r="E219" s="2" t="s">
        <v>8</v>
      </c>
      <c r="F219" s="6">
        <v>47</v>
      </c>
    </row>
    <row r="220" spans="1:6" x14ac:dyDescent="0.35">
      <c r="A220" s="12">
        <v>44889</v>
      </c>
      <c r="B220" s="2" t="s">
        <v>19</v>
      </c>
      <c r="C220" s="2" t="s">
        <v>20</v>
      </c>
      <c r="D220" s="9">
        <v>11660973</v>
      </c>
      <c r="E220" s="2" t="s">
        <v>8</v>
      </c>
      <c r="F220" s="6">
        <v>47</v>
      </c>
    </row>
    <row r="221" spans="1:6" x14ac:dyDescent="0.35">
      <c r="A221" s="12">
        <v>44889</v>
      </c>
      <c r="B221" s="2" t="s">
        <v>9</v>
      </c>
      <c r="C221" s="2" t="s">
        <v>10</v>
      </c>
      <c r="D221" s="9">
        <v>13983131</v>
      </c>
      <c r="E221" s="2" t="s">
        <v>8</v>
      </c>
      <c r="F221" s="6">
        <v>47</v>
      </c>
    </row>
    <row r="222" spans="1:6" x14ac:dyDescent="0.35">
      <c r="A222" s="12">
        <v>44889</v>
      </c>
      <c r="B222" s="2" t="s">
        <v>13</v>
      </c>
      <c r="C222" s="2" t="s">
        <v>14</v>
      </c>
      <c r="D222" s="9">
        <v>12680089</v>
      </c>
      <c r="E222" s="2" t="s">
        <v>8</v>
      </c>
      <c r="F222" s="6">
        <v>47</v>
      </c>
    </row>
    <row r="223" spans="1:6" x14ac:dyDescent="0.35">
      <c r="A223" s="12">
        <v>44889</v>
      </c>
      <c r="B223" s="2" t="s">
        <v>15</v>
      </c>
      <c r="C223" s="2" t="s">
        <v>16</v>
      </c>
      <c r="D223" s="9">
        <v>10280626</v>
      </c>
      <c r="E223" s="2" t="s">
        <v>8</v>
      </c>
      <c r="F223" s="6">
        <v>47</v>
      </c>
    </row>
    <row r="224" spans="1:6" x14ac:dyDescent="0.35">
      <c r="A224" s="12">
        <v>44896</v>
      </c>
      <c r="B224" s="2" t="s">
        <v>6</v>
      </c>
      <c r="C224" s="2" t="s">
        <v>7</v>
      </c>
      <c r="D224" s="9">
        <v>27676347</v>
      </c>
      <c r="E224" s="2" t="s">
        <v>8</v>
      </c>
      <c r="F224" s="6">
        <v>48</v>
      </c>
    </row>
    <row r="225" spans="1:6" x14ac:dyDescent="0.35">
      <c r="A225" s="12">
        <v>44896</v>
      </c>
      <c r="B225" s="2" t="s">
        <v>17</v>
      </c>
      <c r="C225" s="2" t="s">
        <v>18</v>
      </c>
      <c r="D225" s="9">
        <v>11596742</v>
      </c>
      <c r="E225" s="2" t="s">
        <v>8</v>
      </c>
      <c r="F225" s="6">
        <v>48</v>
      </c>
    </row>
    <row r="226" spans="1:6" x14ac:dyDescent="0.35">
      <c r="A226" s="12">
        <v>44896</v>
      </c>
      <c r="B226" s="2" t="s">
        <v>11</v>
      </c>
      <c r="C226" s="2" t="s">
        <v>12</v>
      </c>
      <c r="D226" s="9">
        <v>18026042</v>
      </c>
      <c r="E226" s="2" t="s">
        <v>8</v>
      </c>
      <c r="F226" s="6">
        <v>48</v>
      </c>
    </row>
    <row r="227" spans="1:6" x14ac:dyDescent="0.35">
      <c r="A227" s="12">
        <v>44896</v>
      </c>
      <c r="B227" s="2" t="s">
        <v>19</v>
      </c>
      <c r="C227" s="2" t="s">
        <v>20</v>
      </c>
      <c r="D227" s="9">
        <v>18954484</v>
      </c>
      <c r="E227" s="2" t="s">
        <v>8</v>
      </c>
      <c r="F227" s="6">
        <v>48</v>
      </c>
    </row>
    <row r="228" spans="1:6" x14ac:dyDescent="0.35">
      <c r="A228" s="12">
        <v>44896</v>
      </c>
      <c r="B228" s="2" t="s">
        <v>9</v>
      </c>
      <c r="C228" s="2" t="s">
        <v>10</v>
      </c>
      <c r="D228" s="9">
        <v>22329568</v>
      </c>
      <c r="E228" s="2" t="s">
        <v>8</v>
      </c>
      <c r="F228" s="6">
        <v>48</v>
      </c>
    </row>
    <row r="229" spans="1:6" x14ac:dyDescent="0.35">
      <c r="A229" s="12">
        <v>44896</v>
      </c>
      <c r="B229" s="2" t="s">
        <v>13</v>
      </c>
      <c r="C229" s="2" t="s">
        <v>14</v>
      </c>
      <c r="D229" s="9">
        <v>21093738</v>
      </c>
      <c r="E229" s="2" t="s">
        <v>8</v>
      </c>
      <c r="F229" s="6">
        <v>48</v>
      </c>
    </row>
    <row r="230" spans="1:6" x14ac:dyDescent="0.35">
      <c r="A230" s="12">
        <v>44896</v>
      </c>
      <c r="B230" s="2" t="s">
        <v>15</v>
      </c>
      <c r="C230" s="2" t="s">
        <v>16</v>
      </c>
      <c r="D230" s="9">
        <v>15813791</v>
      </c>
      <c r="E230" s="2" t="s">
        <v>8</v>
      </c>
      <c r="F230" s="6">
        <v>48</v>
      </c>
    </row>
    <row r="231" spans="1:6" x14ac:dyDescent="0.35">
      <c r="A231" s="12">
        <v>44903</v>
      </c>
      <c r="B231" s="2" t="s">
        <v>6</v>
      </c>
      <c r="C231" s="2" t="s">
        <v>7</v>
      </c>
      <c r="D231" s="9">
        <v>37016166</v>
      </c>
      <c r="E231" s="2" t="s">
        <v>8</v>
      </c>
      <c r="F231" s="6">
        <v>49</v>
      </c>
    </row>
    <row r="232" spans="1:6" x14ac:dyDescent="0.35">
      <c r="A232" s="12">
        <v>44903</v>
      </c>
      <c r="B232" s="2" t="s">
        <v>17</v>
      </c>
      <c r="C232" s="2" t="s">
        <v>18</v>
      </c>
      <c r="D232" s="9">
        <v>16626089</v>
      </c>
      <c r="E232" s="2" t="s">
        <v>8</v>
      </c>
      <c r="F232" s="6">
        <v>49</v>
      </c>
    </row>
    <row r="233" spans="1:6" x14ac:dyDescent="0.35">
      <c r="A233" s="12">
        <v>44903</v>
      </c>
      <c r="B233" s="2" t="s">
        <v>11</v>
      </c>
      <c r="C233" s="2" t="s">
        <v>12</v>
      </c>
      <c r="D233" s="9">
        <v>24301141</v>
      </c>
      <c r="E233" s="2" t="s">
        <v>8</v>
      </c>
      <c r="F233" s="6">
        <v>49</v>
      </c>
    </row>
    <row r="234" spans="1:6" x14ac:dyDescent="0.35">
      <c r="A234" s="12">
        <v>44903</v>
      </c>
      <c r="B234" s="2" t="s">
        <v>19</v>
      </c>
      <c r="C234" s="2" t="s">
        <v>20</v>
      </c>
      <c r="D234" s="9">
        <v>24811088</v>
      </c>
      <c r="E234" s="2" t="s">
        <v>8</v>
      </c>
      <c r="F234" s="6">
        <v>49</v>
      </c>
    </row>
    <row r="235" spans="1:6" x14ac:dyDescent="0.35">
      <c r="A235" s="12">
        <v>44903</v>
      </c>
      <c r="B235" s="2" t="s">
        <v>9</v>
      </c>
      <c r="C235" s="2" t="s">
        <v>10</v>
      </c>
      <c r="D235" s="9">
        <v>31520346</v>
      </c>
      <c r="E235" s="2" t="s">
        <v>8</v>
      </c>
      <c r="F235" s="6">
        <v>49</v>
      </c>
    </row>
    <row r="236" spans="1:6" x14ac:dyDescent="0.35">
      <c r="A236" s="12">
        <v>44903</v>
      </c>
      <c r="B236" s="2" t="s">
        <v>13</v>
      </c>
      <c r="C236" s="2" t="s">
        <v>14</v>
      </c>
      <c r="D236" s="9">
        <v>28827742</v>
      </c>
      <c r="E236" s="2" t="s">
        <v>8</v>
      </c>
      <c r="F236" s="6">
        <v>49</v>
      </c>
    </row>
    <row r="237" spans="1:6" x14ac:dyDescent="0.35">
      <c r="A237" s="12">
        <v>44903</v>
      </c>
      <c r="B237" s="2" t="s">
        <v>15</v>
      </c>
      <c r="C237" s="2" t="s">
        <v>16</v>
      </c>
      <c r="D237" s="9">
        <v>21920746</v>
      </c>
      <c r="E237" s="2" t="s">
        <v>8</v>
      </c>
      <c r="F237" s="6">
        <v>49</v>
      </c>
    </row>
    <row r="238" spans="1:6" x14ac:dyDescent="0.35">
      <c r="A238" s="12">
        <v>44910</v>
      </c>
      <c r="B238" s="2" t="s">
        <v>6</v>
      </c>
      <c r="C238" s="2" t="s">
        <v>7</v>
      </c>
      <c r="D238" s="9">
        <v>41921397</v>
      </c>
      <c r="E238" s="2" t="s">
        <v>8</v>
      </c>
      <c r="F238" s="6">
        <v>50</v>
      </c>
    </row>
    <row r="239" spans="1:6" x14ac:dyDescent="0.35">
      <c r="A239" s="12">
        <v>44910</v>
      </c>
      <c r="B239" s="2" t="s">
        <v>17</v>
      </c>
      <c r="C239" s="2" t="s">
        <v>18</v>
      </c>
      <c r="D239" s="9">
        <v>20281372</v>
      </c>
      <c r="E239" s="2" t="s">
        <v>8</v>
      </c>
      <c r="F239" s="6">
        <v>50</v>
      </c>
    </row>
    <row r="240" spans="1:6" x14ac:dyDescent="0.35">
      <c r="A240" s="12">
        <v>44910</v>
      </c>
      <c r="B240" s="2" t="s">
        <v>11</v>
      </c>
      <c r="C240" s="2" t="s">
        <v>12</v>
      </c>
      <c r="D240" s="9">
        <v>27389287</v>
      </c>
      <c r="E240" s="2" t="s">
        <v>8</v>
      </c>
      <c r="F240" s="6">
        <v>50</v>
      </c>
    </row>
    <row r="241" spans="1:6" x14ac:dyDescent="0.35">
      <c r="A241" s="12">
        <v>44910</v>
      </c>
      <c r="B241" s="2" t="s">
        <v>19</v>
      </c>
      <c r="C241" s="2" t="s">
        <v>20</v>
      </c>
      <c r="D241" s="9">
        <v>29842872</v>
      </c>
      <c r="E241" s="2" t="s">
        <v>8</v>
      </c>
      <c r="F241" s="6">
        <v>50</v>
      </c>
    </row>
    <row r="242" spans="1:6" x14ac:dyDescent="0.35">
      <c r="A242" s="12">
        <v>44910</v>
      </c>
      <c r="B242" s="2" t="s">
        <v>9</v>
      </c>
      <c r="C242" s="2" t="s">
        <v>10</v>
      </c>
      <c r="D242" s="9">
        <v>36598697</v>
      </c>
      <c r="E242" s="2" t="s">
        <v>8</v>
      </c>
      <c r="F242" s="6">
        <v>50</v>
      </c>
    </row>
    <row r="243" spans="1:6" x14ac:dyDescent="0.35">
      <c r="A243" s="12">
        <v>44910</v>
      </c>
      <c r="B243" s="2" t="s">
        <v>13</v>
      </c>
      <c r="C243" s="2" t="s">
        <v>14</v>
      </c>
      <c r="D243" s="9">
        <v>34725307</v>
      </c>
      <c r="E243" s="2" t="s">
        <v>8</v>
      </c>
      <c r="F243" s="6">
        <v>50</v>
      </c>
    </row>
    <row r="244" spans="1:6" x14ac:dyDescent="0.35">
      <c r="A244" s="12">
        <v>44910</v>
      </c>
      <c r="B244" s="2" t="s">
        <v>15</v>
      </c>
      <c r="C244" s="2" t="s">
        <v>16</v>
      </c>
      <c r="D244" s="9">
        <v>24641305</v>
      </c>
      <c r="E244" s="2" t="s">
        <v>8</v>
      </c>
      <c r="F244" s="6">
        <v>50</v>
      </c>
    </row>
    <row r="245" spans="1:6" x14ac:dyDescent="0.35">
      <c r="A245" s="12">
        <v>44917</v>
      </c>
      <c r="B245" s="2" t="s">
        <v>6</v>
      </c>
      <c r="C245" s="2" t="s">
        <v>7</v>
      </c>
      <c r="D245" s="9">
        <v>48156836</v>
      </c>
      <c r="E245" s="2" t="s">
        <v>8</v>
      </c>
      <c r="F245" s="6">
        <v>51</v>
      </c>
    </row>
    <row r="246" spans="1:6" x14ac:dyDescent="0.35">
      <c r="A246" s="12">
        <v>44917</v>
      </c>
      <c r="B246" s="2" t="s">
        <v>17</v>
      </c>
      <c r="C246" s="2" t="s">
        <v>18</v>
      </c>
      <c r="D246" s="9">
        <v>25449827</v>
      </c>
      <c r="E246" s="2" t="s">
        <v>8</v>
      </c>
      <c r="F246" s="6">
        <v>51</v>
      </c>
    </row>
    <row r="247" spans="1:6" x14ac:dyDescent="0.35">
      <c r="A247" s="12">
        <v>44917</v>
      </c>
      <c r="B247" s="2" t="s">
        <v>11</v>
      </c>
      <c r="C247" s="2" t="s">
        <v>12</v>
      </c>
      <c r="D247" s="9">
        <v>31885806</v>
      </c>
      <c r="E247" s="2" t="s">
        <v>8</v>
      </c>
      <c r="F247" s="6">
        <v>51</v>
      </c>
    </row>
    <row r="248" spans="1:6" x14ac:dyDescent="0.35">
      <c r="A248" s="12">
        <v>44917</v>
      </c>
      <c r="B248" s="2" t="s">
        <v>19</v>
      </c>
      <c r="C248" s="2" t="s">
        <v>20</v>
      </c>
      <c r="D248" s="9">
        <v>35707249</v>
      </c>
      <c r="E248" s="2" t="s">
        <v>8</v>
      </c>
      <c r="F248" s="6">
        <v>51</v>
      </c>
    </row>
    <row r="249" spans="1:6" x14ac:dyDescent="0.35">
      <c r="A249" s="12">
        <v>44917</v>
      </c>
      <c r="B249" s="2" t="s">
        <v>9</v>
      </c>
      <c r="C249" s="2" t="s">
        <v>10</v>
      </c>
      <c r="D249" s="9">
        <v>43177189</v>
      </c>
      <c r="E249" s="2" t="s">
        <v>8</v>
      </c>
      <c r="F249" s="6">
        <v>51</v>
      </c>
    </row>
    <row r="250" spans="1:6" x14ac:dyDescent="0.35">
      <c r="A250" s="12">
        <v>44917</v>
      </c>
      <c r="B250" s="2" t="s">
        <v>13</v>
      </c>
      <c r="C250" s="2" t="s">
        <v>14</v>
      </c>
      <c r="D250" s="9">
        <v>40917945</v>
      </c>
      <c r="E250" s="2" t="s">
        <v>8</v>
      </c>
      <c r="F250" s="6">
        <v>51</v>
      </c>
    </row>
    <row r="251" spans="1:6" x14ac:dyDescent="0.35">
      <c r="A251" s="12">
        <v>44917</v>
      </c>
      <c r="B251" s="2" t="s">
        <v>15</v>
      </c>
      <c r="C251" s="2" t="s">
        <v>16</v>
      </c>
      <c r="D251" s="9">
        <v>28754864</v>
      </c>
      <c r="E251" s="2" t="s">
        <v>8</v>
      </c>
      <c r="F251" s="6">
        <v>51</v>
      </c>
    </row>
    <row r="252" spans="1:6" x14ac:dyDescent="0.35">
      <c r="A252" s="12">
        <v>44924</v>
      </c>
      <c r="B252" s="2" t="s">
        <v>6</v>
      </c>
      <c r="C252" s="2" t="s">
        <v>7</v>
      </c>
      <c r="D252" s="9">
        <v>57651756</v>
      </c>
      <c r="E252" s="2" t="s">
        <v>8</v>
      </c>
      <c r="F252" s="6">
        <v>52</v>
      </c>
    </row>
    <row r="253" spans="1:6" x14ac:dyDescent="0.35">
      <c r="A253" s="12">
        <v>44924</v>
      </c>
      <c r="B253" s="2" t="s">
        <v>17</v>
      </c>
      <c r="C253" s="2" t="s">
        <v>18</v>
      </c>
      <c r="D253" s="9">
        <v>34335283</v>
      </c>
      <c r="E253" s="2" t="s">
        <v>8</v>
      </c>
      <c r="F253" s="6">
        <v>52</v>
      </c>
    </row>
    <row r="254" spans="1:6" x14ac:dyDescent="0.35">
      <c r="A254" s="12">
        <v>44924</v>
      </c>
      <c r="B254" s="2" t="s">
        <v>11</v>
      </c>
      <c r="C254" s="2" t="s">
        <v>12</v>
      </c>
      <c r="D254" s="9">
        <v>39394212</v>
      </c>
      <c r="E254" s="2" t="s">
        <v>8</v>
      </c>
      <c r="F254" s="6">
        <v>52</v>
      </c>
    </row>
    <row r="255" spans="1:6" x14ac:dyDescent="0.35">
      <c r="A255" s="12">
        <v>44924</v>
      </c>
      <c r="B255" s="2" t="s">
        <v>19</v>
      </c>
      <c r="C255" s="2" t="s">
        <v>20</v>
      </c>
      <c r="D255" s="9">
        <v>44144398</v>
      </c>
      <c r="E255" s="2" t="s">
        <v>8</v>
      </c>
      <c r="F255" s="6">
        <v>52</v>
      </c>
    </row>
    <row r="256" spans="1:6" x14ac:dyDescent="0.35">
      <c r="A256" s="12">
        <v>44924</v>
      </c>
      <c r="B256" s="2" t="s">
        <v>9</v>
      </c>
      <c r="C256" s="2" t="s">
        <v>10</v>
      </c>
      <c r="D256" s="9">
        <v>52683220</v>
      </c>
      <c r="E256" s="2" t="s">
        <v>8</v>
      </c>
      <c r="F256" s="6">
        <v>52</v>
      </c>
    </row>
    <row r="257" spans="1:6" x14ac:dyDescent="0.35">
      <c r="A257" s="12">
        <v>44924</v>
      </c>
      <c r="B257" s="2" t="s">
        <v>13</v>
      </c>
      <c r="C257" s="2" t="s">
        <v>14</v>
      </c>
      <c r="D257" s="9">
        <v>48147082</v>
      </c>
      <c r="E257" s="2" t="s">
        <v>8</v>
      </c>
      <c r="F257" s="6">
        <v>52</v>
      </c>
    </row>
    <row r="258" spans="1:6" x14ac:dyDescent="0.35">
      <c r="A258" s="12">
        <v>44924</v>
      </c>
      <c r="B258" s="2" t="s">
        <v>15</v>
      </c>
      <c r="C258" s="2" t="s">
        <v>16</v>
      </c>
      <c r="D258" s="9">
        <v>34113273</v>
      </c>
      <c r="E258" s="2" t="s">
        <v>8</v>
      </c>
      <c r="F258" s="6">
        <v>52</v>
      </c>
    </row>
    <row r="259" spans="1:6" x14ac:dyDescent="0.35">
      <c r="A259" s="12">
        <v>45239</v>
      </c>
      <c r="B259" s="2" t="s">
        <v>6</v>
      </c>
      <c r="C259" s="2" t="s">
        <v>7</v>
      </c>
      <c r="D259" s="9">
        <v>11713143</v>
      </c>
      <c r="E259" s="2" t="s">
        <v>8</v>
      </c>
      <c r="F259" s="6">
        <v>45</v>
      </c>
    </row>
    <row r="260" spans="1:6" x14ac:dyDescent="0.35">
      <c r="A260" s="12">
        <v>45239</v>
      </c>
      <c r="B260" s="2" t="s">
        <v>9</v>
      </c>
      <c r="C260" s="2" t="s">
        <v>10</v>
      </c>
      <c r="D260" s="9">
        <v>9447986</v>
      </c>
      <c r="E260" s="2" t="s">
        <v>8</v>
      </c>
      <c r="F260" s="6">
        <v>45</v>
      </c>
    </row>
    <row r="261" spans="1:6" x14ac:dyDescent="0.35">
      <c r="A261" s="12">
        <v>45246</v>
      </c>
      <c r="B261" s="2" t="s">
        <v>6</v>
      </c>
      <c r="C261" s="2" t="s">
        <v>7</v>
      </c>
      <c r="D261" s="9">
        <v>14923197</v>
      </c>
      <c r="E261" s="2" t="s">
        <v>8</v>
      </c>
      <c r="F261" s="6">
        <v>46</v>
      </c>
    </row>
    <row r="262" spans="1:6" x14ac:dyDescent="0.35">
      <c r="A262" s="12">
        <v>45246</v>
      </c>
      <c r="B262" s="2" t="s">
        <v>19</v>
      </c>
      <c r="C262" s="2" t="s">
        <v>20</v>
      </c>
      <c r="D262" s="9">
        <v>8609753</v>
      </c>
      <c r="E262" s="2" t="s">
        <v>8</v>
      </c>
      <c r="F262" s="6">
        <v>46</v>
      </c>
    </row>
    <row r="263" spans="1:6" x14ac:dyDescent="0.35">
      <c r="A263" s="12">
        <v>45246</v>
      </c>
      <c r="B263" s="2" t="s">
        <v>9</v>
      </c>
      <c r="C263" s="2" t="s">
        <v>10</v>
      </c>
      <c r="D263" s="9">
        <v>13109310</v>
      </c>
      <c r="E263" s="2" t="s">
        <v>8</v>
      </c>
      <c r="F263" s="6">
        <v>46</v>
      </c>
    </row>
    <row r="264" spans="1:6" x14ac:dyDescent="0.35">
      <c r="A264" s="12">
        <v>45246</v>
      </c>
      <c r="B264" s="2" t="s">
        <v>13</v>
      </c>
      <c r="C264" s="2" t="s">
        <v>14</v>
      </c>
      <c r="D264" s="9">
        <v>8472546</v>
      </c>
      <c r="E264" s="2" t="s">
        <v>8</v>
      </c>
      <c r="F264" s="6">
        <v>46</v>
      </c>
    </row>
    <row r="265" spans="1:6" x14ac:dyDescent="0.35">
      <c r="A265" s="12">
        <v>45246</v>
      </c>
      <c r="B265" s="2" t="s">
        <v>15</v>
      </c>
      <c r="C265" s="2" t="s">
        <v>16</v>
      </c>
      <c r="D265" s="9">
        <v>8185135</v>
      </c>
      <c r="E265" s="2" t="s">
        <v>8</v>
      </c>
      <c r="F265" s="6">
        <v>46</v>
      </c>
    </row>
    <row r="266" spans="1:6" x14ac:dyDescent="0.35">
      <c r="A266" s="12">
        <v>45253</v>
      </c>
      <c r="B266" s="2" t="s">
        <v>6</v>
      </c>
      <c r="C266" s="2" t="s">
        <v>7</v>
      </c>
      <c r="D266" s="9">
        <v>21632325</v>
      </c>
      <c r="E266" s="2" t="s">
        <v>8</v>
      </c>
      <c r="F266" s="6">
        <v>47</v>
      </c>
    </row>
    <row r="267" spans="1:6" x14ac:dyDescent="0.35">
      <c r="A267" s="12">
        <v>45253</v>
      </c>
      <c r="B267" s="2" t="s">
        <v>11</v>
      </c>
      <c r="C267" s="2" t="s">
        <v>12</v>
      </c>
      <c r="D267" s="9">
        <v>10757784</v>
      </c>
      <c r="E267" s="2" t="s">
        <v>8</v>
      </c>
      <c r="F267" s="6">
        <v>47</v>
      </c>
    </row>
    <row r="268" spans="1:6" x14ac:dyDescent="0.35">
      <c r="A268" s="12">
        <v>45253</v>
      </c>
      <c r="B268" s="2" t="s">
        <v>19</v>
      </c>
      <c r="C268" s="2" t="s">
        <v>20</v>
      </c>
      <c r="D268" s="9">
        <v>13175644</v>
      </c>
      <c r="E268" s="2" t="s">
        <v>8</v>
      </c>
      <c r="F268" s="6">
        <v>47</v>
      </c>
    </row>
    <row r="269" spans="1:6" x14ac:dyDescent="0.35">
      <c r="A269" s="12">
        <v>45253</v>
      </c>
      <c r="B269" s="2" t="s">
        <v>9</v>
      </c>
      <c r="C269" s="2" t="s">
        <v>10</v>
      </c>
      <c r="D269" s="9">
        <v>19385469</v>
      </c>
      <c r="E269" s="2" t="s">
        <v>8</v>
      </c>
      <c r="F269" s="6">
        <v>47</v>
      </c>
    </row>
    <row r="270" spans="1:6" x14ac:dyDescent="0.35">
      <c r="A270" s="12">
        <v>45253</v>
      </c>
      <c r="B270" s="2" t="s">
        <v>13</v>
      </c>
      <c r="C270" s="2" t="s">
        <v>14</v>
      </c>
      <c r="D270" s="9">
        <v>15066957</v>
      </c>
      <c r="E270" s="2" t="s">
        <v>8</v>
      </c>
      <c r="F270" s="6">
        <v>47</v>
      </c>
    </row>
    <row r="271" spans="1:6" x14ac:dyDescent="0.35">
      <c r="A271" s="12">
        <v>45253</v>
      </c>
      <c r="B271" s="2" t="s">
        <v>15</v>
      </c>
      <c r="C271" s="2" t="s">
        <v>16</v>
      </c>
      <c r="D271" s="9">
        <v>11469200</v>
      </c>
      <c r="E271" s="2" t="s">
        <v>8</v>
      </c>
      <c r="F271" s="6">
        <v>47</v>
      </c>
    </row>
    <row r="272" spans="1:6" x14ac:dyDescent="0.35">
      <c r="A272" s="12">
        <v>45260</v>
      </c>
      <c r="B272" s="2" t="s">
        <v>6</v>
      </c>
      <c r="C272" s="2" t="s">
        <v>7</v>
      </c>
      <c r="D272" s="9">
        <v>33728604</v>
      </c>
      <c r="E272" s="2" t="s">
        <v>8</v>
      </c>
      <c r="F272" s="6">
        <v>48</v>
      </c>
    </row>
    <row r="273" spans="1:6" x14ac:dyDescent="0.35">
      <c r="A273" s="12">
        <v>45260</v>
      </c>
      <c r="B273" s="2" t="s">
        <v>17</v>
      </c>
      <c r="C273" s="2" t="s">
        <v>18</v>
      </c>
      <c r="D273" s="9">
        <v>12517113</v>
      </c>
      <c r="E273" s="2" t="s">
        <v>8</v>
      </c>
      <c r="F273" s="6">
        <v>48</v>
      </c>
    </row>
    <row r="274" spans="1:6" x14ac:dyDescent="0.35">
      <c r="A274" s="12">
        <v>45260</v>
      </c>
      <c r="B274" s="2" t="s">
        <v>11</v>
      </c>
      <c r="C274" s="2" t="s">
        <v>12</v>
      </c>
      <c r="D274" s="9">
        <v>18224117</v>
      </c>
      <c r="E274" s="2" t="s">
        <v>8</v>
      </c>
      <c r="F274" s="6">
        <v>48</v>
      </c>
    </row>
    <row r="275" spans="1:6" x14ac:dyDescent="0.35">
      <c r="A275" s="12">
        <v>45260</v>
      </c>
      <c r="B275" s="2" t="s">
        <v>19</v>
      </c>
      <c r="C275" s="2" t="s">
        <v>20</v>
      </c>
      <c r="D275" s="9">
        <v>22186368</v>
      </c>
      <c r="E275" s="2" t="s">
        <v>8</v>
      </c>
      <c r="F275" s="6">
        <v>48</v>
      </c>
    </row>
    <row r="276" spans="1:6" x14ac:dyDescent="0.35">
      <c r="A276" s="12">
        <v>45260</v>
      </c>
      <c r="B276" s="2" t="s">
        <v>9</v>
      </c>
      <c r="C276" s="2" t="s">
        <v>10</v>
      </c>
      <c r="D276" s="9">
        <v>30556258</v>
      </c>
      <c r="E276" s="2" t="s">
        <v>8</v>
      </c>
      <c r="F276" s="6">
        <v>48</v>
      </c>
    </row>
    <row r="277" spans="1:6" x14ac:dyDescent="0.35">
      <c r="A277" s="12">
        <v>45260</v>
      </c>
      <c r="B277" s="2" t="s">
        <v>13</v>
      </c>
      <c r="C277" s="2" t="s">
        <v>14</v>
      </c>
      <c r="D277" s="9">
        <v>26940388</v>
      </c>
      <c r="E277" s="2" t="s">
        <v>8</v>
      </c>
      <c r="F277" s="6">
        <v>48</v>
      </c>
    </row>
    <row r="278" spans="1:6" x14ac:dyDescent="0.35">
      <c r="A278" s="12">
        <v>45260</v>
      </c>
      <c r="B278" s="2" t="s">
        <v>15</v>
      </c>
      <c r="C278" s="2" t="s">
        <v>16</v>
      </c>
      <c r="D278" s="9">
        <v>18610534</v>
      </c>
      <c r="E278" s="2" t="s">
        <v>8</v>
      </c>
      <c r="F278" s="6">
        <v>48</v>
      </c>
    </row>
    <row r="279" spans="1:6" x14ac:dyDescent="0.35">
      <c r="A279" s="12">
        <v>45267</v>
      </c>
      <c r="B279" s="2" t="s">
        <v>6</v>
      </c>
      <c r="C279" s="2" t="s">
        <v>7</v>
      </c>
      <c r="D279" s="9">
        <v>48242745</v>
      </c>
      <c r="E279" s="2" t="s">
        <v>8</v>
      </c>
      <c r="F279" s="6">
        <v>49</v>
      </c>
    </row>
    <row r="280" spans="1:6" x14ac:dyDescent="0.35">
      <c r="A280" s="12">
        <v>45267</v>
      </c>
      <c r="B280" s="2" t="s">
        <v>17</v>
      </c>
      <c r="C280" s="2" t="s">
        <v>18</v>
      </c>
      <c r="D280" s="9">
        <v>20317400</v>
      </c>
      <c r="E280" s="2" t="s">
        <v>8</v>
      </c>
      <c r="F280" s="6">
        <v>49</v>
      </c>
    </row>
    <row r="281" spans="1:6" x14ac:dyDescent="0.35">
      <c r="A281" s="12">
        <v>45267</v>
      </c>
      <c r="B281" s="2" t="s">
        <v>11</v>
      </c>
      <c r="C281" s="2" t="s">
        <v>12</v>
      </c>
      <c r="D281" s="9">
        <v>27899303</v>
      </c>
      <c r="E281" s="2" t="s">
        <v>8</v>
      </c>
      <c r="F281" s="6">
        <v>49</v>
      </c>
    </row>
    <row r="282" spans="1:6" x14ac:dyDescent="0.35">
      <c r="A282" s="12">
        <v>45267</v>
      </c>
      <c r="B282" s="2" t="s">
        <v>19</v>
      </c>
      <c r="C282" s="2" t="s">
        <v>20</v>
      </c>
      <c r="D282" s="9">
        <v>33402002</v>
      </c>
      <c r="E282" s="2" t="s">
        <v>8</v>
      </c>
      <c r="F282" s="6">
        <v>49</v>
      </c>
    </row>
    <row r="283" spans="1:6" x14ac:dyDescent="0.35">
      <c r="A283" s="12">
        <v>45267</v>
      </c>
      <c r="B283" s="2" t="s">
        <v>9</v>
      </c>
      <c r="C283" s="2" t="s">
        <v>10</v>
      </c>
      <c r="D283" s="9">
        <v>44176139</v>
      </c>
      <c r="E283" s="2" t="s">
        <v>8</v>
      </c>
      <c r="F283" s="6">
        <v>49</v>
      </c>
    </row>
    <row r="284" spans="1:6" x14ac:dyDescent="0.35">
      <c r="A284" s="12">
        <v>45267</v>
      </c>
      <c r="B284" s="2" t="s">
        <v>13</v>
      </c>
      <c r="C284" s="2" t="s">
        <v>14</v>
      </c>
      <c r="D284" s="9">
        <v>38756976</v>
      </c>
      <c r="E284" s="2" t="s">
        <v>8</v>
      </c>
      <c r="F284" s="6">
        <v>49</v>
      </c>
    </row>
    <row r="285" spans="1:6" x14ac:dyDescent="0.35">
      <c r="A285" s="12">
        <v>45267</v>
      </c>
      <c r="B285" s="2" t="s">
        <v>15</v>
      </c>
      <c r="C285" s="2" t="s">
        <v>16</v>
      </c>
      <c r="D285" s="9">
        <v>29089107</v>
      </c>
      <c r="E285" s="2" t="s">
        <v>8</v>
      </c>
      <c r="F285" s="6">
        <v>49</v>
      </c>
    </row>
    <row r="286" spans="1:6" x14ac:dyDescent="0.35">
      <c r="A286" s="12">
        <v>45274</v>
      </c>
      <c r="B286" s="2" t="s">
        <v>6</v>
      </c>
      <c r="C286" s="2" t="s">
        <v>7</v>
      </c>
      <c r="D286" s="9">
        <v>47232471</v>
      </c>
      <c r="E286" s="2" t="s">
        <v>8</v>
      </c>
      <c r="F286" s="6">
        <v>50</v>
      </c>
    </row>
    <row r="287" spans="1:6" x14ac:dyDescent="0.35">
      <c r="A287" s="12">
        <v>45274</v>
      </c>
      <c r="B287" s="2" t="s">
        <v>17</v>
      </c>
      <c r="C287" s="2" t="s">
        <v>18</v>
      </c>
      <c r="D287" s="9">
        <v>20852799</v>
      </c>
      <c r="E287" s="2" t="s">
        <v>8</v>
      </c>
      <c r="F287" s="6">
        <v>50</v>
      </c>
    </row>
    <row r="288" spans="1:6" x14ac:dyDescent="0.35">
      <c r="A288" s="12">
        <v>45274</v>
      </c>
      <c r="B288" s="2" t="s">
        <v>11</v>
      </c>
      <c r="C288" s="2" t="s">
        <v>12</v>
      </c>
      <c r="D288" s="9">
        <v>27973507</v>
      </c>
      <c r="E288" s="2" t="s">
        <v>8</v>
      </c>
      <c r="F288" s="6">
        <v>50</v>
      </c>
    </row>
    <row r="289" spans="1:6" x14ac:dyDescent="0.35">
      <c r="A289" s="12">
        <v>45274</v>
      </c>
      <c r="B289" s="2" t="s">
        <v>19</v>
      </c>
      <c r="C289" s="2" t="s">
        <v>20</v>
      </c>
      <c r="D289" s="9">
        <v>30951467</v>
      </c>
      <c r="E289" s="2" t="s">
        <v>8</v>
      </c>
      <c r="F289" s="6">
        <v>50</v>
      </c>
    </row>
    <row r="290" spans="1:6" x14ac:dyDescent="0.35">
      <c r="A290" s="12">
        <v>45274</v>
      </c>
      <c r="B290" s="2" t="s">
        <v>9</v>
      </c>
      <c r="C290" s="2" t="s">
        <v>10</v>
      </c>
      <c r="D290" s="9">
        <v>43334690</v>
      </c>
      <c r="E290" s="2" t="s">
        <v>8</v>
      </c>
      <c r="F290" s="6">
        <v>50</v>
      </c>
    </row>
    <row r="291" spans="1:6" x14ac:dyDescent="0.35">
      <c r="A291" s="12">
        <v>45274</v>
      </c>
      <c r="B291" s="2" t="s">
        <v>13</v>
      </c>
      <c r="C291" s="2" t="s">
        <v>14</v>
      </c>
      <c r="D291" s="9">
        <v>37617587</v>
      </c>
      <c r="E291" s="2" t="s">
        <v>8</v>
      </c>
      <c r="F291" s="6">
        <v>50</v>
      </c>
    </row>
    <row r="292" spans="1:6" x14ac:dyDescent="0.35">
      <c r="A292" s="12">
        <v>45274</v>
      </c>
      <c r="B292" s="2" t="s">
        <v>15</v>
      </c>
      <c r="C292" s="2" t="s">
        <v>16</v>
      </c>
      <c r="D292" s="9">
        <v>29109961</v>
      </c>
      <c r="E292" s="2" t="s">
        <v>8</v>
      </c>
      <c r="F292" s="6">
        <v>50</v>
      </c>
    </row>
    <row r="293" spans="1:6" x14ac:dyDescent="0.35">
      <c r="A293" s="12">
        <v>45281</v>
      </c>
      <c r="B293" s="2" t="s">
        <v>6</v>
      </c>
      <c r="C293" s="2" t="s">
        <v>7</v>
      </c>
      <c r="D293" s="9">
        <v>53338897</v>
      </c>
      <c r="E293" s="2" t="s">
        <v>8</v>
      </c>
      <c r="F293" s="6">
        <v>51</v>
      </c>
    </row>
    <row r="294" spans="1:6" x14ac:dyDescent="0.35">
      <c r="A294" s="12">
        <v>45281</v>
      </c>
      <c r="B294" s="2" t="s">
        <v>17</v>
      </c>
      <c r="C294" s="2" t="s">
        <v>18</v>
      </c>
      <c r="D294" s="9">
        <v>24768891</v>
      </c>
      <c r="E294" s="2" t="s">
        <v>8</v>
      </c>
      <c r="F294" s="6">
        <v>51</v>
      </c>
    </row>
    <row r="295" spans="1:6" x14ac:dyDescent="0.35">
      <c r="A295" s="12">
        <v>45281</v>
      </c>
      <c r="B295" s="2" t="s">
        <v>11</v>
      </c>
      <c r="C295" s="2" t="s">
        <v>12</v>
      </c>
      <c r="D295" s="9">
        <v>31456354</v>
      </c>
      <c r="E295" s="2" t="s">
        <v>8</v>
      </c>
      <c r="F295" s="6">
        <v>51</v>
      </c>
    </row>
    <row r="296" spans="1:6" x14ac:dyDescent="0.35">
      <c r="A296" s="12">
        <v>45281</v>
      </c>
      <c r="B296" s="2" t="s">
        <v>19</v>
      </c>
      <c r="C296" s="2" t="s">
        <v>20</v>
      </c>
      <c r="D296" s="9">
        <v>35098833</v>
      </c>
      <c r="E296" s="2" t="s">
        <v>8</v>
      </c>
      <c r="F296" s="6">
        <v>51</v>
      </c>
    </row>
    <row r="297" spans="1:6" x14ac:dyDescent="0.35">
      <c r="A297" s="12">
        <v>45281</v>
      </c>
      <c r="B297" s="2" t="s">
        <v>9</v>
      </c>
      <c r="C297" s="2" t="s">
        <v>10</v>
      </c>
      <c r="D297" s="9">
        <v>49239617</v>
      </c>
      <c r="E297" s="2" t="s">
        <v>8</v>
      </c>
      <c r="F297" s="6">
        <v>51</v>
      </c>
    </row>
    <row r="298" spans="1:6" x14ac:dyDescent="0.35">
      <c r="A298" s="12">
        <v>45281</v>
      </c>
      <c r="B298" s="2" t="s">
        <v>13</v>
      </c>
      <c r="C298" s="2" t="s">
        <v>14</v>
      </c>
      <c r="D298" s="9">
        <v>44792976</v>
      </c>
      <c r="E298" s="2" t="s">
        <v>8</v>
      </c>
      <c r="F298" s="6">
        <v>51</v>
      </c>
    </row>
    <row r="299" spans="1:6" x14ac:dyDescent="0.35">
      <c r="A299" s="12">
        <v>45281</v>
      </c>
      <c r="B299" s="2" t="s">
        <v>15</v>
      </c>
      <c r="C299" s="2" t="s">
        <v>16</v>
      </c>
      <c r="D299" s="9">
        <v>33816577</v>
      </c>
      <c r="E299" s="2" t="s">
        <v>8</v>
      </c>
      <c r="F299" s="6">
        <v>51</v>
      </c>
    </row>
    <row r="300" spans="1:6" x14ac:dyDescent="0.35">
      <c r="A300" s="12">
        <v>45288</v>
      </c>
      <c r="B300" s="2" t="s">
        <v>6</v>
      </c>
      <c r="C300" s="2" t="s">
        <v>7</v>
      </c>
      <c r="D300" s="9">
        <v>75826005</v>
      </c>
      <c r="E300" s="2" t="s">
        <v>8</v>
      </c>
      <c r="F300" s="6">
        <v>52</v>
      </c>
    </row>
    <row r="301" spans="1:6" x14ac:dyDescent="0.35">
      <c r="A301" s="12">
        <v>45288</v>
      </c>
      <c r="B301" s="2" t="s">
        <v>17</v>
      </c>
      <c r="C301" s="2" t="s">
        <v>18</v>
      </c>
      <c r="D301" s="9">
        <v>39496130</v>
      </c>
      <c r="E301" s="2" t="s">
        <v>8</v>
      </c>
      <c r="F301" s="6">
        <v>52</v>
      </c>
    </row>
    <row r="302" spans="1:6" x14ac:dyDescent="0.35">
      <c r="A302" s="12">
        <v>45288</v>
      </c>
      <c r="B302" s="2" t="s">
        <v>11</v>
      </c>
      <c r="C302" s="2" t="s">
        <v>12</v>
      </c>
      <c r="D302" s="9">
        <v>44884310</v>
      </c>
      <c r="E302" s="2" t="s">
        <v>8</v>
      </c>
      <c r="F302" s="6">
        <v>52</v>
      </c>
    </row>
    <row r="303" spans="1:6" x14ac:dyDescent="0.35">
      <c r="A303" s="12">
        <v>45288</v>
      </c>
      <c r="B303" s="2" t="s">
        <v>19</v>
      </c>
      <c r="C303" s="2" t="s">
        <v>20</v>
      </c>
      <c r="D303" s="9">
        <v>51705845</v>
      </c>
      <c r="E303" s="2" t="s">
        <v>8</v>
      </c>
      <c r="F303" s="6">
        <v>52</v>
      </c>
    </row>
    <row r="304" spans="1:6" x14ac:dyDescent="0.35">
      <c r="A304" s="12">
        <v>45288</v>
      </c>
      <c r="B304" s="2" t="s">
        <v>9</v>
      </c>
      <c r="C304" s="2" t="s">
        <v>10</v>
      </c>
      <c r="D304" s="9">
        <v>71138282</v>
      </c>
      <c r="E304" s="2" t="s">
        <v>8</v>
      </c>
      <c r="F304" s="6">
        <v>52</v>
      </c>
    </row>
    <row r="305" spans="1:6" x14ac:dyDescent="0.35">
      <c r="A305" s="12">
        <v>45288</v>
      </c>
      <c r="B305" s="2" t="s">
        <v>13</v>
      </c>
      <c r="C305" s="2" t="s">
        <v>14</v>
      </c>
      <c r="D305" s="9">
        <v>62796483</v>
      </c>
      <c r="E305" s="2" t="s">
        <v>8</v>
      </c>
      <c r="F305" s="6">
        <v>52</v>
      </c>
    </row>
    <row r="306" spans="1:6" x14ac:dyDescent="0.35">
      <c r="A306" s="12">
        <v>45288</v>
      </c>
      <c r="B306" s="2" t="s">
        <v>15</v>
      </c>
      <c r="C306" s="2" t="s">
        <v>16</v>
      </c>
      <c r="D306" s="9">
        <v>48192239</v>
      </c>
      <c r="E306" s="2" t="s">
        <v>8</v>
      </c>
      <c r="F306" s="6">
        <v>52</v>
      </c>
    </row>
    <row r="307" spans="1:6" x14ac:dyDescent="0.35">
      <c r="A307" s="12">
        <v>45295</v>
      </c>
      <c r="B307" s="2" t="s">
        <v>9</v>
      </c>
      <c r="C307" s="2" t="s">
        <v>10</v>
      </c>
      <c r="D307" s="9">
        <v>7914063</v>
      </c>
      <c r="E307" s="2" t="s">
        <v>8</v>
      </c>
      <c r="F307" s="6">
        <v>1</v>
      </c>
    </row>
    <row r="308" spans="1:6" x14ac:dyDescent="0.35">
      <c r="A308" s="12">
        <v>45603</v>
      </c>
      <c r="B308" s="2" t="s">
        <v>6</v>
      </c>
      <c r="C308" s="2" t="s">
        <v>7</v>
      </c>
      <c r="D308" s="9">
        <v>11279139</v>
      </c>
      <c r="E308" s="2" t="s">
        <v>8</v>
      </c>
      <c r="F308" s="6">
        <v>45</v>
      </c>
    </row>
    <row r="309" spans="1:6" x14ac:dyDescent="0.35">
      <c r="A309" s="12">
        <v>45603</v>
      </c>
      <c r="B309" s="2" t="s">
        <v>9</v>
      </c>
      <c r="C309" s="2" t="s">
        <v>10</v>
      </c>
      <c r="D309" s="9">
        <v>9923635</v>
      </c>
      <c r="E309" s="2" t="s">
        <v>8</v>
      </c>
      <c r="F309" s="6">
        <v>45</v>
      </c>
    </row>
    <row r="310" spans="1:6" x14ac:dyDescent="0.35">
      <c r="A310" s="12">
        <v>45610</v>
      </c>
      <c r="B310" s="2" t="s">
        <v>6</v>
      </c>
      <c r="C310" s="2" t="s">
        <v>7</v>
      </c>
      <c r="D310" s="9">
        <v>14796703</v>
      </c>
      <c r="E310" s="2" t="s">
        <v>8</v>
      </c>
      <c r="F310" s="6">
        <v>46</v>
      </c>
    </row>
    <row r="311" spans="1:6" x14ac:dyDescent="0.35">
      <c r="A311" s="12">
        <v>45610</v>
      </c>
      <c r="B311" s="2" t="s">
        <v>19</v>
      </c>
      <c r="C311" s="2" t="s">
        <v>20</v>
      </c>
      <c r="D311" s="9">
        <v>8712411</v>
      </c>
      <c r="E311" s="2" t="s">
        <v>8</v>
      </c>
      <c r="F311" s="6">
        <v>46</v>
      </c>
    </row>
    <row r="312" spans="1:6" x14ac:dyDescent="0.35">
      <c r="A312" s="12">
        <v>45610</v>
      </c>
      <c r="B312" s="2" t="s">
        <v>9</v>
      </c>
      <c r="C312" s="2" t="s">
        <v>10</v>
      </c>
      <c r="D312" s="9">
        <v>13711333</v>
      </c>
      <c r="E312" s="2" t="s">
        <v>8</v>
      </c>
      <c r="F312" s="6">
        <v>46</v>
      </c>
    </row>
    <row r="313" spans="1:6" x14ac:dyDescent="0.35">
      <c r="A313" s="12">
        <v>45610</v>
      </c>
      <c r="B313" s="2" t="s">
        <v>13</v>
      </c>
      <c r="C313" s="2" t="s">
        <v>14</v>
      </c>
      <c r="D313" s="9">
        <v>9561847</v>
      </c>
      <c r="E313" s="2" t="s">
        <v>8</v>
      </c>
      <c r="F313" s="6">
        <v>46</v>
      </c>
    </row>
    <row r="314" spans="1:6" x14ac:dyDescent="0.35">
      <c r="A314" s="12">
        <v>45610</v>
      </c>
      <c r="B314" s="2" t="s">
        <v>15</v>
      </c>
      <c r="C314" s="2" t="s">
        <v>16</v>
      </c>
      <c r="D314" s="9">
        <v>8672931</v>
      </c>
      <c r="E314" s="2" t="s">
        <v>8</v>
      </c>
      <c r="F314" s="6">
        <v>46</v>
      </c>
    </row>
    <row r="315" spans="1:6" x14ac:dyDescent="0.35">
      <c r="A315" s="12">
        <v>45617</v>
      </c>
      <c r="B315" s="2" t="s">
        <v>6</v>
      </c>
      <c r="C315" s="2" t="s">
        <v>7</v>
      </c>
      <c r="D315" s="9">
        <v>21363813</v>
      </c>
      <c r="E315" s="2" t="s">
        <v>8</v>
      </c>
      <c r="F315" s="6">
        <v>47</v>
      </c>
    </row>
    <row r="316" spans="1:6" x14ac:dyDescent="0.35">
      <c r="A316" s="12">
        <v>45617</v>
      </c>
      <c r="B316" s="2" t="s">
        <v>11</v>
      </c>
      <c r="C316" s="2" t="s">
        <v>12</v>
      </c>
      <c r="D316" s="9">
        <v>9941240</v>
      </c>
      <c r="E316" s="2" t="s">
        <v>8</v>
      </c>
      <c r="F316" s="6">
        <v>47</v>
      </c>
    </row>
    <row r="317" spans="1:6" x14ac:dyDescent="0.35">
      <c r="A317" s="12">
        <v>45617</v>
      </c>
      <c r="B317" s="2" t="s">
        <v>19</v>
      </c>
      <c r="C317" s="2" t="s">
        <v>20</v>
      </c>
      <c r="D317" s="9">
        <v>13038832</v>
      </c>
      <c r="E317" s="2" t="s">
        <v>8</v>
      </c>
      <c r="F317" s="6">
        <v>47</v>
      </c>
    </row>
    <row r="318" spans="1:6" x14ac:dyDescent="0.35">
      <c r="A318" s="12">
        <v>45617</v>
      </c>
      <c r="B318" s="2" t="s">
        <v>9</v>
      </c>
      <c r="C318" s="2" t="s">
        <v>10</v>
      </c>
      <c r="D318" s="9">
        <v>19555376</v>
      </c>
      <c r="E318" s="2" t="s">
        <v>8</v>
      </c>
      <c r="F318" s="6">
        <v>47</v>
      </c>
    </row>
    <row r="319" spans="1:6" x14ac:dyDescent="0.35">
      <c r="A319" s="12">
        <v>45617</v>
      </c>
      <c r="B319" s="2" t="s">
        <v>13</v>
      </c>
      <c r="C319" s="2" t="s">
        <v>14</v>
      </c>
      <c r="D319" s="9">
        <v>14591689</v>
      </c>
      <c r="E319" s="2" t="s">
        <v>8</v>
      </c>
      <c r="F319" s="6">
        <v>47</v>
      </c>
    </row>
    <row r="320" spans="1:6" x14ac:dyDescent="0.35">
      <c r="A320" s="12">
        <v>45617</v>
      </c>
      <c r="B320" s="2" t="s">
        <v>15</v>
      </c>
      <c r="C320" s="2" t="s">
        <v>16</v>
      </c>
      <c r="D320" s="9">
        <v>12932270</v>
      </c>
      <c r="E320" s="2" t="s">
        <v>8</v>
      </c>
      <c r="F320" s="6">
        <v>47</v>
      </c>
    </row>
    <row r="321" spans="1:6" x14ac:dyDescent="0.35">
      <c r="A321" s="12">
        <v>45624</v>
      </c>
      <c r="B321" s="2" t="s">
        <v>6</v>
      </c>
      <c r="C321" s="2" t="s">
        <v>7</v>
      </c>
      <c r="D321" s="9">
        <v>28988715</v>
      </c>
      <c r="E321" s="2" t="s">
        <v>8</v>
      </c>
      <c r="F321" s="6">
        <v>48</v>
      </c>
    </row>
    <row r="322" spans="1:6" x14ac:dyDescent="0.35">
      <c r="A322" s="12">
        <v>45624</v>
      </c>
      <c r="B322" s="2" t="s">
        <v>17</v>
      </c>
      <c r="C322" s="2" t="s">
        <v>18</v>
      </c>
      <c r="D322" s="9">
        <v>11302691</v>
      </c>
      <c r="E322" s="2" t="s">
        <v>8</v>
      </c>
      <c r="F322" s="6">
        <v>48</v>
      </c>
    </row>
    <row r="323" spans="1:6" x14ac:dyDescent="0.35">
      <c r="A323" s="12">
        <v>45624</v>
      </c>
      <c r="B323" s="2" t="s">
        <v>11</v>
      </c>
      <c r="C323" s="2" t="s">
        <v>12</v>
      </c>
      <c r="D323" s="9">
        <v>14210678</v>
      </c>
      <c r="E323" s="2" t="s">
        <v>8</v>
      </c>
      <c r="F323" s="6">
        <v>48</v>
      </c>
    </row>
    <row r="324" spans="1:6" x14ac:dyDescent="0.35">
      <c r="A324" s="12">
        <v>45624</v>
      </c>
      <c r="B324" s="2" t="s">
        <v>19</v>
      </c>
      <c r="C324" s="2" t="s">
        <v>20</v>
      </c>
      <c r="D324" s="9">
        <v>18729517</v>
      </c>
      <c r="E324" s="2" t="s">
        <v>8</v>
      </c>
      <c r="F324" s="6">
        <v>48</v>
      </c>
    </row>
    <row r="325" spans="1:6" x14ac:dyDescent="0.35">
      <c r="A325" s="12">
        <v>45624</v>
      </c>
      <c r="B325" s="2" t="s">
        <v>9</v>
      </c>
      <c r="C325" s="2" t="s">
        <v>10</v>
      </c>
      <c r="D325" s="9">
        <v>26812906</v>
      </c>
      <c r="E325" s="2" t="s">
        <v>8</v>
      </c>
      <c r="F325" s="6">
        <v>48</v>
      </c>
    </row>
    <row r="326" spans="1:6" x14ac:dyDescent="0.35">
      <c r="A326" s="12">
        <v>45624</v>
      </c>
      <c r="B326" s="2" t="s">
        <v>13</v>
      </c>
      <c r="C326" s="2" t="s">
        <v>14</v>
      </c>
      <c r="D326" s="9">
        <v>21568493</v>
      </c>
      <c r="E326" s="2" t="s">
        <v>8</v>
      </c>
      <c r="F326" s="6">
        <v>48</v>
      </c>
    </row>
    <row r="327" spans="1:6" x14ac:dyDescent="0.35">
      <c r="A327" s="12">
        <v>45624</v>
      </c>
      <c r="B327" s="2" t="s">
        <v>15</v>
      </c>
      <c r="C327" s="2" t="s">
        <v>16</v>
      </c>
      <c r="D327" s="9">
        <v>18147498</v>
      </c>
      <c r="E327" s="2" t="s">
        <v>8</v>
      </c>
      <c r="F327" s="6">
        <v>48</v>
      </c>
    </row>
    <row r="328" spans="1:6" x14ac:dyDescent="0.35">
      <c r="A328" s="12">
        <v>45631</v>
      </c>
      <c r="B328" s="2" t="s">
        <v>6</v>
      </c>
      <c r="C328" s="2" t="s">
        <v>7</v>
      </c>
      <c r="D328" s="9">
        <v>44056478</v>
      </c>
      <c r="E328" s="2" t="s">
        <v>8</v>
      </c>
      <c r="F328" s="6">
        <v>49</v>
      </c>
    </row>
    <row r="329" spans="1:6" x14ac:dyDescent="0.35">
      <c r="A329" s="12">
        <v>45631</v>
      </c>
      <c r="B329" s="2" t="s">
        <v>17</v>
      </c>
      <c r="C329" s="2" t="s">
        <v>18</v>
      </c>
      <c r="D329" s="9">
        <v>19452273</v>
      </c>
      <c r="E329" s="2" t="s">
        <v>8</v>
      </c>
      <c r="F329" s="6">
        <v>49</v>
      </c>
    </row>
    <row r="330" spans="1:6" x14ac:dyDescent="0.35">
      <c r="A330" s="12">
        <v>45631</v>
      </c>
      <c r="B330" s="2" t="s">
        <v>11</v>
      </c>
      <c r="C330" s="2" t="s">
        <v>12</v>
      </c>
      <c r="D330" s="9">
        <v>22538475</v>
      </c>
      <c r="E330" s="2" t="s">
        <v>8</v>
      </c>
      <c r="F330" s="6">
        <v>49</v>
      </c>
    </row>
    <row r="331" spans="1:6" x14ac:dyDescent="0.35">
      <c r="A331" s="12">
        <v>45631</v>
      </c>
      <c r="B331" s="2" t="s">
        <v>19</v>
      </c>
      <c r="C331" s="2" t="s">
        <v>20</v>
      </c>
      <c r="D331" s="9">
        <v>30821472</v>
      </c>
      <c r="E331" s="2" t="s">
        <v>8</v>
      </c>
      <c r="F331" s="6">
        <v>49</v>
      </c>
    </row>
    <row r="332" spans="1:6" x14ac:dyDescent="0.35">
      <c r="A332" s="12">
        <v>45631</v>
      </c>
      <c r="B332" s="2" t="s">
        <v>9</v>
      </c>
      <c r="C332" s="2" t="s">
        <v>10</v>
      </c>
      <c r="D332" s="9">
        <v>43542785</v>
      </c>
      <c r="E332" s="2" t="s">
        <v>8</v>
      </c>
      <c r="F332" s="6">
        <v>49</v>
      </c>
    </row>
    <row r="333" spans="1:6" x14ac:dyDescent="0.35">
      <c r="A333" s="12">
        <v>45631</v>
      </c>
      <c r="B333" s="2" t="s">
        <v>13</v>
      </c>
      <c r="C333" s="2" t="s">
        <v>14</v>
      </c>
      <c r="D333" s="9">
        <v>36240442</v>
      </c>
      <c r="E333" s="2" t="s">
        <v>8</v>
      </c>
      <c r="F333" s="6">
        <v>49</v>
      </c>
    </row>
    <row r="334" spans="1:6" x14ac:dyDescent="0.35">
      <c r="A334" s="12">
        <v>45631</v>
      </c>
      <c r="B334" s="2" t="s">
        <v>15</v>
      </c>
      <c r="C334" s="2" t="s">
        <v>16</v>
      </c>
      <c r="D334" s="9">
        <v>28953248</v>
      </c>
      <c r="E334" s="2" t="s">
        <v>8</v>
      </c>
      <c r="F334" s="6">
        <v>49</v>
      </c>
    </row>
    <row r="335" spans="1:6" x14ac:dyDescent="0.35">
      <c r="A335" s="12">
        <v>45638</v>
      </c>
      <c r="B335" s="2" t="s">
        <v>6</v>
      </c>
      <c r="C335" s="2" t="s">
        <v>7</v>
      </c>
      <c r="D335" s="9">
        <v>47514211</v>
      </c>
      <c r="E335" s="2" t="s">
        <v>8</v>
      </c>
      <c r="F335" s="6">
        <v>50</v>
      </c>
    </row>
    <row r="336" spans="1:6" x14ac:dyDescent="0.35">
      <c r="A336" s="12">
        <v>45638</v>
      </c>
      <c r="B336" s="2" t="s">
        <v>17</v>
      </c>
      <c r="C336" s="2" t="s">
        <v>18</v>
      </c>
      <c r="D336" s="9">
        <v>21780383</v>
      </c>
      <c r="E336" s="2" t="s">
        <v>8</v>
      </c>
      <c r="F336" s="6">
        <v>50</v>
      </c>
    </row>
    <row r="337" spans="1:6" x14ac:dyDescent="0.35">
      <c r="A337" s="12">
        <v>45638</v>
      </c>
      <c r="B337" s="2" t="s">
        <v>11</v>
      </c>
      <c r="C337" s="2" t="s">
        <v>12</v>
      </c>
      <c r="D337" s="9">
        <v>24073016</v>
      </c>
      <c r="E337" s="2" t="s">
        <v>8</v>
      </c>
      <c r="F337" s="6">
        <v>50</v>
      </c>
    </row>
    <row r="338" spans="1:6" x14ac:dyDescent="0.35">
      <c r="A338" s="12">
        <v>45638</v>
      </c>
      <c r="B338" s="2" t="s">
        <v>19</v>
      </c>
      <c r="C338" s="2" t="s">
        <v>20</v>
      </c>
      <c r="D338" s="9">
        <v>36801037</v>
      </c>
      <c r="E338" s="2" t="s">
        <v>8</v>
      </c>
      <c r="F338" s="6">
        <v>50</v>
      </c>
    </row>
    <row r="339" spans="1:6" x14ac:dyDescent="0.35">
      <c r="A339" s="12">
        <v>45638</v>
      </c>
      <c r="B339" s="2" t="s">
        <v>9</v>
      </c>
      <c r="C339" s="2" t="s">
        <v>10</v>
      </c>
      <c r="D339" s="9">
        <v>46992149</v>
      </c>
      <c r="E339" s="2" t="s">
        <v>8</v>
      </c>
      <c r="F339" s="6">
        <v>50</v>
      </c>
    </row>
    <row r="340" spans="1:6" x14ac:dyDescent="0.35">
      <c r="A340" s="12">
        <v>45638</v>
      </c>
      <c r="B340" s="2" t="s">
        <v>13</v>
      </c>
      <c r="C340" s="2" t="s">
        <v>14</v>
      </c>
      <c r="D340" s="9">
        <v>40460504</v>
      </c>
      <c r="E340" s="2" t="s">
        <v>8</v>
      </c>
      <c r="F340" s="6">
        <v>50</v>
      </c>
    </row>
    <row r="341" spans="1:6" x14ac:dyDescent="0.35">
      <c r="A341" s="12">
        <v>45638</v>
      </c>
      <c r="B341" s="2" t="s">
        <v>15</v>
      </c>
      <c r="C341" s="2" t="s">
        <v>16</v>
      </c>
      <c r="D341" s="9">
        <v>31559275</v>
      </c>
      <c r="E341" s="2" t="s">
        <v>8</v>
      </c>
      <c r="F341" s="6">
        <v>50</v>
      </c>
    </row>
    <row r="342" spans="1:6" x14ac:dyDescent="0.35">
      <c r="A342" s="12">
        <v>45645</v>
      </c>
      <c r="B342" s="2" t="s">
        <v>6</v>
      </c>
      <c r="C342" s="2" t="s">
        <v>7</v>
      </c>
      <c r="D342" s="9">
        <v>51621732</v>
      </c>
      <c r="E342" s="2" t="s">
        <v>8</v>
      </c>
      <c r="F342" s="6">
        <v>51</v>
      </c>
    </row>
    <row r="343" spans="1:6" x14ac:dyDescent="0.35">
      <c r="A343" s="12">
        <v>45645</v>
      </c>
      <c r="B343" s="2" t="s">
        <v>17</v>
      </c>
      <c r="C343" s="2" t="s">
        <v>18</v>
      </c>
      <c r="D343" s="9">
        <v>25708186</v>
      </c>
      <c r="E343" s="2" t="s">
        <v>8</v>
      </c>
      <c r="F343" s="6">
        <v>51</v>
      </c>
    </row>
    <row r="344" spans="1:6" x14ac:dyDescent="0.35">
      <c r="A344" s="12">
        <v>45645</v>
      </c>
      <c r="B344" s="2" t="s">
        <v>11</v>
      </c>
      <c r="C344" s="2" t="s">
        <v>12</v>
      </c>
      <c r="D344" s="9">
        <v>26548915</v>
      </c>
      <c r="E344" s="2" t="s">
        <v>8</v>
      </c>
      <c r="F344" s="6">
        <v>51</v>
      </c>
    </row>
    <row r="345" spans="1:6" x14ac:dyDescent="0.35">
      <c r="A345" s="12">
        <v>45645</v>
      </c>
      <c r="B345" s="2" t="s">
        <v>19</v>
      </c>
      <c r="C345" s="2" t="s">
        <v>20</v>
      </c>
      <c r="D345" s="9">
        <v>41055176</v>
      </c>
      <c r="E345" s="2" t="s">
        <v>8</v>
      </c>
      <c r="F345" s="6">
        <v>51</v>
      </c>
    </row>
    <row r="346" spans="1:6" x14ac:dyDescent="0.35">
      <c r="A346" s="12">
        <v>45645</v>
      </c>
      <c r="B346" s="2" t="s">
        <v>9</v>
      </c>
      <c r="C346" s="2" t="s">
        <v>10</v>
      </c>
      <c r="D346" s="9">
        <v>50554131</v>
      </c>
      <c r="E346" s="2" t="s">
        <v>8</v>
      </c>
      <c r="F346" s="6">
        <v>51</v>
      </c>
    </row>
    <row r="347" spans="1:6" x14ac:dyDescent="0.35">
      <c r="A347" s="12">
        <v>45645</v>
      </c>
      <c r="B347" s="2" t="s">
        <v>13</v>
      </c>
      <c r="C347" s="2" t="s">
        <v>14</v>
      </c>
      <c r="D347" s="9">
        <v>44823735</v>
      </c>
      <c r="E347" s="2" t="s">
        <v>8</v>
      </c>
      <c r="F347" s="6">
        <v>51</v>
      </c>
    </row>
    <row r="348" spans="1:6" x14ac:dyDescent="0.35">
      <c r="A348" s="12">
        <v>45645</v>
      </c>
      <c r="B348" s="2" t="s">
        <v>15</v>
      </c>
      <c r="C348" s="2" t="s">
        <v>16</v>
      </c>
      <c r="D348" s="9">
        <v>34645959</v>
      </c>
      <c r="E348" s="2" t="s">
        <v>8</v>
      </c>
      <c r="F348" s="6">
        <v>51</v>
      </c>
    </row>
    <row r="349" spans="1:6" x14ac:dyDescent="0.35">
      <c r="A349" s="12">
        <v>45652</v>
      </c>
      <c r="B349" s="2" t="s">
        <v>6</v>
      </c>
      <c r="C349" s="2" t="s">
        <v>7</v>
      </c>
      <c r="D349" s="9">
        <v>92506541</v>
      </c>
      <c r="E349" s="2" t="s">
        <v>8</v>
      </c>
      <c r="F349" s="6">
        <v>52</v>
      </c>
    </row>
    <row r="350" spans="1:6" x14ac:dyDescent="0.35">
      <c r="A350" s="12">
        <v>45652</v>
      </c>
      <c r="B350" s="2" t="s">
        <v>17</v>
      </c>
      <c r="C350" s="2" t="s">
        <v>18</v>
      </c>
      <c r="D350" s="9">
        <v>48740674</v>
      </c>
      <c r="E350" s="2" t="s">
        <v>8</v>
      </c>
      <c r="F350" s="6">
        <v>52</v>
      </c>
    </row>
    <row r="351" spans="1:6" x14ac:dyDescent="0.35">
      <c r="A351" s="12">
        <v>45652</v>
      </c>
      <c r="B351" s="2" t="s">
        <v>11</v>
      </c>
      <c r="C351" s="2" t="s">
        <v>12</v>
      </c>
      <c r="D351" s="9">
        <v>47360169</v>
      </c>
      <c r="E351" s="2" t="s">
        <v>8</v>
      </c>
      <c r="F351" s="6">
        <v>52</v>
      </c>
    </row>
    <row r="352" spans="1:6" x14ac:dyDescent="0.35">
      <c r="A352" s="12">
        <v>45652</v>
      </c>
      <c r="B352" s="2" t="s">
        <v>19</v>
      </c>
      <c r="C352" s="2" t="s">
        <v>20</v>
      </c>
      <c r="D352" s="9">
        <v>72625966</v>
      </c>
      <c r="E352" s="2" t="s">
        <v>8</v>
      </c>
      <c r="F352" s="6">
        <v>52</v>
      </c>
    </row>
    <row r="353" spans="1:6" x14ac:dyDescent="0.35">
      <c r="A353" s="12">
        <v>45652</v>
      </c>
      <c r="B353" s="2" t="s">
        <v>9</v>
      </c>
      <c r="C353" s="2" t="s">
        <v>10</v>
      </c>
      <c r="D353" s="9">
        <v>91090914</v>
      </c>
      <c r="E353" s="2" t="s">
        <v>8</v>
      </c>
      <c r="F353" s="6">
        <v>52</v>
      </c>
    </row>
    <row r="354" spans="1:6" x14ac:dyDescent="0.35">
      <c r="A354" s="12">
        <v>45652</v>
      </c>
      <c r="B354" s="2" t="s">
        <v>13</v>
      </c>
      <c r="C354" s="2" t="s">
        <v>14</v>
      </c>
      <c r="D354" s="9">
        <v>82406485</v>
      </c>
      <c r="E354" s="2" t="s">
        <v>8</v>
      </c>
      <c r="F354" s="6">
        <v>52</v>
      </c>
    </row>
    <row r="355" spans="1:6" x14ac:dyDescent="0.35">
      <c r="A355" s="12">
        <v>45652</v>
      </c>
      <c r="B355" s="2" t="s">
        <v>15</v>
      </c>
      <c r="C355" s="2" t="s">
        <v>16</v>
      </c>
      <c r="D355" s="9">
        <v>60264421</v>
      </c>
      <c r="E355" s="2" t="s">
        <v>8</v>
      </c>
      <c r="F355" s="6">
        <v>52</v>
      </c>
    </row>
    <row r="356" spans="1:6" x14ac:dyDescent="0.35">
      <c r="A356" s="12">
        <v>45659</v>
      </c>
      <c r="B356" s="2" t="s">
        <v>6</v>
      </c>
      <c r="C356" s="2" t="s">
        <v>7</v>
      </c>
      <c r="D356" s="9">
        <v>11199904</v>
      </c>
      <c r="E356" s="2" t="s">
        <v>8</v>
      </c>
      <c r="F356" s="6">
        <v>1</v>
      </c>
    </row>
    <row r="357" spans="1:6" x14ac:dyDescent="0.35">
      <c r="A357" s="12">
        <v>45659</v>
      </c>
      <c r="B357" s="2" t="s">
        <v>9</v>
      </c>
      <c r="C357" s="2" t="s">
        <v>10</v>
      </c>
      <c r="D357" s="9">
        <v>11565422</v>
      </c>
      <c r="E357" s="2" t="s">
        <v>8</v>
      </c>
      <c r="F357" s="6">
        <v>1</v>
      </c>
    </row>
    <row r="358" spans="1:6" x14ac:dyDescent="0.35">
      <c r="A358" s="12">
        <v>45659</v>
      </c>
      <c r="B358" s="2" t="s">
        <v>13</v>
      </c>
      <c r="C358" s="2" t="s">
        <v>14</v>
      </c>
      <c r="D358" s="9">
        <v>8533518</v>
      </c>
      <c r="E358" s="2" t="s">
        <v>8</v>
      </c>
      <c r="F358" s="6">
        <v>1</v>
      </c>
    </row>
    <row r="359" spans="1:6" x14ac:dyDescent="0.35">
      <c r="A359" s="12">
        <v>45967</v>
      </c>
      <c r="B359" s="2" t="s">
        <v>6</v>
      </c>
      <c r="C359" s="2" t="s">
        <v>7</v>
      </c>
      <c r="D359" s="9">
        <v>10679069</v>
      </c>
      <c r="E359" s="2" t="s">
        <v>8</v>
      </c>
      <c r="F359" s="6">
        <v>45</v>
      </c>
    </row>
    <row r="360" spans="1:6" x14ac:dyDescent="0.35">
      <c r="A360" s="12">
        <v>45967</v>
      </c>
      <c r="B360" s="2" t="s">
        <v>9</v>
      </c>
      <c r="C360" s="2" t="s">
        <v>10</v>
      </c>
      <c r="D360" s="9">
        <v>8776792</v>
      </c>
      <c r="E360" s="2" t="s">
        <v>8</v>
      </c>
      <c r="F360" s="6">
        <v>45</v>
      </c>
    </row>
    <row r="361" spans="1:6" x14ac:dyDescent="0.35">
      <c r="A361" s="12">
        <v>45974</v>
      </c>
      <c r="B361" s="2" t="s">
        <v>6</v>
      </c>
      <c r="C361" s="2" t="s">
        <v>7</v>
      </c>
      <c r="D361" s="9">
        <v>14176619</v>
      </c>
      <c r="E361" s="2" t="s">
        <v>8</v>
      </c>
      <c r="F361" s="6">
        <v>46</v>
      </c>
    </row>
    <row r="362" spans="1:6" x14ac:dyDescent="0.35">
      <c r="A362" s="12">
        <v>45974</v>
      </c>
      <c r="B362" s="2" t="s">
        <v>19</v>
      </c>
      <c r="C362" s="2" t="s">
        <v>20</v>
      </c>
      <c r="D362" s="9">
        <v>8905332</v>
      </c>
      <c r="E362" s="2" t="s">
        <v>8</v>
      </c>
      <c r="F362" s="6">
        <v>46</v>
      </c>
    </row>
    <row r="363" spans="1:6" x14ac:dyDescent="0.35">
      <c r="A363" s="12">
        <v>45974</v>
      </c>
      <c r="B363" s="2" t="s">
        <v>9</v>
      </c>
      <c r="C363" s="2" t="s">
        <v>10</v>
      </c>
      <c r="D363" s="9">
        <v>12541769</v>
      </c>
      <c r="E363" s="2" t="s">
        <v>8</v>
      </c>
      <c r="F363" s="6">
        <v>46</v>
      </c>
    </row>
    <row r="364" spans="1:6" x14ac:dyDescent="0.35">
      <c r="A364" s="12">
        <v>45974</v>
      </c>
      <c r="B364" s="2" t="s">
        <v>13</v>
      </c>
      <c r="C364" s="2" t="s">
        <v>14</v>
      </c>
      <c r="D364" s="9">
        <v>9897609</v>
      </c>
      <c r="E364" s="2" t="s">
        <v>8</v>
      </c>
      <c r="F364" s="6">
        <v>46</v>
      </c>
    </row>
    <row r="365" spans="1:6" x14ac:dyDescent="0.35">
      <c r="A365" s="12">
        <v>45974</v>
      </c>
      <c r="B365" s="2" t="s">
        <v>15</v>
      </c>
      <c r="C365" s="2" t="s">
        <v>16</v>
      </c>
      <c r="D365" s="9">
        <v>9083220</v>
      </c>
      <c r="E365" s="2" t="s">
        <v>8</v>
      </c>
      <c r="F365" s="6">
        <v>46</v>
      </c>
    </row>
    <row r="366" spans="1:6" x14ac:dyDescent="0.35">
      <c r="A366" s="12">
        <v>45981</v>
      </c>
      <c r="B366" s="2" t="s">
        <v>6</v>
      </c>
      <c r="C366" s="2" t="s">
        <v>7</v>
      </c>
      <c r="D366" s="9">
        <v>17855568</v>
      </c>
      <c r="E366" s="2" t="s">
        <v>8</v>
      </c>
      <c r="F366" s="6">
        <v>47</v>
      </c>
    </row>
    <row r="367" spans="1:6" x14ac:dyDescent="0.35">
      <c r="A367" s="12">
        <v>45981</v>
      </c>
      <c r="B367" s="2" t="s">
        <v>11</v>
      </c>
      <c r="C367" s="2" t="s">
        <v>12</v>
      </c>
      <c r="D367" s="9">
        <v>9133205</v>
      </c>
      <c r="E367" s="2" t="s">
        <v>8</v>
      </c>
      <c r="F367" s="6">
        <v>47</v>
      </c>
    </row>
    <row r="368" spans="1:6" x14ac:dyDescent="0.35">
      <c r="A368" s="12">
        <v>45981</v>
      </c>
      <c r="B368" s="2" t="s">
        <v>19</v>
      </c>
      <c r="C368" s="2" t="s">
        <v>20</v>
      </c>
      <c r="D368" s="9">
        <v>12045395</v>
      </c>
      <c r="E368" s="2" t="s">
        <v>8</v>
      </c>
      <c r="F368" s="6">
        <v>47</v>
      </c>
    </row>
    <row r="369" spans="1:6" x14ac:dyDescent="0.35">
      <c r="A369" s="12">
        <v>45981</v>
      </c>
      <c r="B369" s="2" t="s">
        <v>9</v>
      </c>
      <c r="C369" s="2" t="s">
        <v>10</v>
      </c>
      <c r="D369" s="9">
        <v>16382300</v>
      </c>
      <c r="E369" s="2" t="s">
        <v>8</v>
      </c>
      <c r="F369" s="6">
        <v>47</v>
      </c>
    </row>
    <row r="370" spans="1:6" x14ac:dyDescent="0.35">
      <c r="A370" s="12">
        <v>45981</v>
      </c>
      <c r="B370" s="2" t="s">
        <v>13</v>
      </c>
      <c r="C370" s="2" t="s">
        <v>14</v>
      </c>
      <c r="D370" s="9">
        <v>12912321</v>
      </c>
      <c r="E370" s="2" t="s">
        <v>8</v>
      </c>
      <c r="F370" s="6">
        <v>47</v>
      </c>
    </row>
    <row r="371" spans="1:6" x14ac:dyDescent="0.35">
      <c r="A371" s="12">
        <v>45981</v>
      </c>
      <c r="B371" s="2" t="s">
        <v>15</v>
      </c>
      <c r="C371" s="2" t="s">
        <v>16</v>
      </c>
      <c r="D371" s="9">
        <v>11651103</v>
      </c>
      <c r="E371" s="2" t="s">
        <v>8</v>
      </c>
      <c r="F371" s="6">
        <v>47</v>
      </c>
    </row>
    <row r="372" spans="1:6" x14ac:dyDescent="0.35">
      <c r="A372" s="12">
        <v>45988</v>
      </c>
      <c r="B372" s="2" t="s">
        <v>6</v>
      </c>
      <c r="C372" s="2" t="s">
        <v>7</v>
      </c>
      <c r="D372" s="9">
        <v>25566111</v>
      </c>
      <c r="E372" s="2" t="s">
        <v>8</v>
      </c>
      <c r="F372" s="6">
        <v>48</v>
      </c>
    </row>
    <row r="373" spans="1:6" x14ac:dyDescent="0.35">
      <c r="A373" s="12">
        <v>45988</v>
      </c>
      <c r="B373" s="2" t="s">
        <v>17</v>
      </c>
      <c r="C373" s="2" t="s">
        <v>18</v>
      </c>
      <c r="D373" s="9">
        <v>9869378</v>
      </c>
      <c r="E373" s="2" t="s">
        <v>8</v>
      </c>
      <c r="F373" s="6">
        <v>48</v>
      </c>
    </row>
    <row r="374" spans="1:6" x14ac:dyDescent="0.35">
      <c r="A374" s="12">
        <v>45988</v>
      </c>
      <c r="B374" s="2" t="s">
        <v>11</v>
      </c>
      <c r="C374" s="2" t="s">
        <v>12</v>
      </c>
      <c r="D374" s="9">
        <v>13273043</v>
      </c>
      <c r="E374" s="2" t="s">
        <v>8</v>
      </c>
      <c r="F374" s="6">
        <v>48</v>
      </c>
    </row>
    <row r="375" spans="1:6" x14ac:dyDescent="0.35">
      <c r="A375" s="12">
        <v>45988</v>
      </c>
      <c r="B375" s="2" t="s">
        <v>19</v>
      </c>
      <c r="C375" s="2" t="s">
        <v>20</v>
      </c>
      <c r="D375" s="9">
        <v>17216703</v>
      </c>
      <c r="E375" s="2" t="s">
        <v>8</v>
      </c>
      <c r="F375" s="6">
        <v>48</v>
      </c>
    </row>
    <row r="376" spans="1:6" x14ac:dyDescent="0.35">
      <c r="A376" s="12">
        <v>45988</v>
      </c>
      <c r="B376" s="2" t="s">
        <v>9</v>
      </c>
      <c r="C376" s="2" t="s">
        <v>10</v>
      </c>
      <c r="D376" s="9">
        <v>23091279</v>
      </c>
      <c r="E376" s="2" t="s">
        <v>8</v>
      </c>
      <c r="F376" s="6">
        <v>48</v>
      </c>
    </row>
    <row r="377" spans="1:6" x14ac:dyDescent="0.35">
      <c r="A377" s="12">
        <v>45988</v>
      </c>
      <c r="B377" s="2" t="s">
        <v>13</v>
      </c>
      <c r="C377" s="2" t="s">
        <v>14</v>
      </c>
      <c r="D377" s="9">
        <v>19251893</v>
      </c>
      <c r="E377" s="2" t="s">
        <v>8</v>
      </c>
      <c r="F377" s="6">
        <v>48</v>
      </c>
    </row>
    <row r="378" spans="1:6" x14ac:dyDescent="0.35">
      <c r="A378" s="13">
        <v>45988</v>
      </c>
      <c r="B378" s="4" t="s">
        <v>15</v>
      </c>
      <c r="C378" s="4" t="s">
        <v>16</v>
      </c>
      <c r="D378" s="10">
        <v>16838299</v>
      </c>
      <c r="E378" s="4" t="s">
        <v>8</v>
      </c>
      <c r="F378" s="7">
        <v>48</v>
      </c>
    </row>
  </sheetData>
  <dataValidations count="2">
    <dataValidation type="date" allowBlank="1" showInputMessage="1" showErrorMessage="1" error="Invalid date" prompt="Pick a date between 2017 and 2025" sqref="A2:A378" xr:uid="{C8A11AA2-A982-49D3-85BF-1E1B1F1A0FDB}">
      <formula1>42736</formula1>
      <formula2>46023</formula2>
    </dataValidation>
    <dataValidation type="whole" allowBlank="1" showInputMessage="1" showErrorMessage="1" error="Invalid number" prompt="Pick a number between 1 and 56" sqref="F2" xr:uid="{DA342A9D-5938-44E7-B1B4-74D05DC4F32F}">
      <formula1>1</formula1>
      <formula2>54</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CD62-D66C-4DF8-8937-155F667FACE2}">
  <sheetPr>
    <tabColor rgb="FFFFFF66"/>
  </sheetPr>
  <dimension ref="A1:G377"/>
  <sheetViews>
    <sheetView topLeftCell="A2" zoomScaleNormal="100" workbookViewId="0">
      <selection activeCell="G3" sqref="G3"/>
    </sheetView>
  </sheetViews>
  <sheetFormatPr defaultRowHeight="14.5" x14ac:dyDescent="0.35"/>
  <cols>
    <col min="1" max="1" width="10.08984375" bestFit="1" customWidth="1"/>
    <col min="2" max="2" width="34.7265625" bestFit="1" customWidth="1"/>
    <col min="3" max="3" width="13.6328125" bestFit="1" customWidth="1"/>
    <col min="4" max="4" width="9.81640625" bestFit="1" customWidth="1"/>
    <col min="5" max="5" width="14.26953125" bestFit="1" customWidth="1"/>
    <col min="7" max="7" width="10.81640625" bestFit="1" customWidth="1"/>
  </cols>
  <sheetData>
    <row r="1" spans="1:7" x14ac:dyDescent="0.35">
      <c r="A1" s="17" t="s">
        <v>36</v>
      </c>
      <c r="B1" s="3" t="s">
        <v>1</v>
      </c>
      <c r="C1" s="3" t="s">
        <v>2</v>
      </c>
      <c r="D1" s="3" t="s">
        <v>3</v>
      </c>
      <c r="E1" s="16" t="s">
        <v>5</v>
      </c>
    </row>
    <row r="2" spans="1:7" x14ac:dyDescent="0.35">
      <c r="A2" s="23">
        <v>43055</v>
      </c>
      <c r="B2" s="2" t="s">
        <v>6</v>
      </c>
      <c r="C2" s="2" t="s">
        <v>7</v>
      </c>
      <c r="D2" s="2">
        <v>3821572</v>
      </c>
      <c r="E2" s="19">
        <v>46</v>
      </c>
      <c r="G2">
        <f xml:space="preserve"> SUM(Table1_1[streams])</f>
        <v>8042520783</v>
      </c>
    </row>
    <row r="3" spans="1:7" x14ac:dyDescent="0.35">
      <c r="A3" s="23">
        <v>43062</v>
      </c>
      <c r="B3" s="2" t="s">
        <v>6</v>
      </c>
      <c r="C3" s="2" t="s">
        <v>7</v>
      </c>
      <c r="D3" s="2">
        <v>6130250</v>
      </c>
      <c r="E3" s="19">
        <v>47</v>
      </c>
      <c r="G3">
        <v>8042520783</v>
      </c>
    </row>
    <row r="4" spans="1:7" x14ac:dyDescent="0.35">
      <c r="A4" s="23">
        <v>43062</v>
      </c>
      <c r="B4" s="2" t="s">
        <v>9</v>
      </c>
      <c r="C4" s="2" t="s">
        <v>10</v>
      </c>
      <c r="D4" s="2">
        <v>4040197</v>
      </c>
      <c r="E4" s="19">
        <v>47</v>
      </c>
    </row>
    <row r="5" spans="1:7" x14ac:dyDescent="0.35">
      <c r="A5" s="23">
        <v>43069</v>
      </c>
      <c r="B5" s="2" t="s">
        <v>6</v>
      </c>
      <c r="C5" s="2" t="s">
        <v>7</v>
      </c>
      <c r="D5" s="2">
        <v>11641888</v>
      </c>
      <c r="E5" s="19">
        <v>48</v>
      </c>
    </row>
    <row r="6" spans="1:7" x14ac:dyDescent="0.35">
      <c r="A6" s="23">
        <v>43069</v>
      </c>
      <c r="B6" s="2" t="s">
        <v>11</v>
      </c>
      <c r="C6" s="2" t="s">
        <v>12</v>
      </c>
      <c r="D6" s="2">
        <v>4577042</v>
      </c>
      <c r="E6" s="19">
        <v>48</v>
      </c>
    </row>
    <row r="7" spans="1:7" x14ac:dyDescent="0.35">
      <c r="A7" s="23">
        <v>43069</v>
      </c>
      <c r="B7" s="2" t="s">
        <v>9</v>
      </c>
      <c r="C7" s="2" t="s">
        <v>10</v>
      </c>
      <c r="D7" s="2">
        <v>7133652</v>
      </c>
      <c r="E7" s="19">
        <v>48</v>
      </c>
    </row>
    <row r="8" spans="1:7" x14ac:dyDescent="0.35">
      <c r="A8" s="23">
        <v>43069</v>
      </c>
      <c r="B8" s="2" t="s">
        <v>13</v>
      </c>
      <c r="C8" s="2" t="s">
        <v>14</v>
      </c>
      <c r="D8" s="2">
        <v>4423222</v>
      </c>
      <c r="E8" s="19">
        <v>48</v>
      </c>
    </row>
    <row r="9" spans="1:7" x14ac:dyDescent="0.35">
      <c r="A9" s="23">
        <v>43069</v>
      </c>
      <c r="B9" s="2" t="s">
        <v>15</v>
      </c>
      <c r="C9" s="2" t="s">
        <v>16</v>
      </c>
      <c r="D9" s="2">
        <v>4221612</v>
      </c>
      <c r="E9" s="19">
        <v>48</v>
      </c>
    </row>
    <row r="10" spans="1:7" x14ac:dyDescent="0.35">
      <c r="A10" s="23">
        <v>43076</v>
      </c>
      <c r="B10" s="2" t="s">
        <v>6</v>
      </c>
      <c r="C10" s="2" t="s">
        <v>7</v>
      </c>
      <c r="D10" s="2">
        <v>19808428</v>
      </c>
      <c r="E10" s="19">
        <v>49</v>
      </c>
    </row>
    <row r="11" spans="1:7" x14ac:dyDescent="0.35">
      <c r="A11" s="23">
        <v>43076</v>
      </c>
      <c r="B11" s="2" t="s">
        <v>17</v>
      </c>
      <c r="C11" s="2" t="s">
        <v>18</v>
      </c>
      <c r="D11" s="2">
        <v>4780300</v>
      </c>
      <c r="E11" s="19">
        <v>49</v>
      </c>
    </row>
    <row r="12" spans="1:7" x14ac:dyDescent="0.35">
      <c r="A12" s="23">
        <v>43076</v>
      </c>
      <c r="B12" s="2" t="s">
        <v>11</v>
      </c>
      <c r="C12" s="2" t="s">
        <v>12</v>
      </c>
      <c r="D12" s="2">
        <v>8172327</v>
      </c>
      <c r="E12" s="19">
        <v>49</v>
      </c>
    </row>
    <row r="13" spans="1:7" x14ac:dyDescent="0.35">
      <c r="A13" s="23">
        <v>43076</v>
      </c>
      <c r="B13" s="2" t="s">
        <v>9</v>
      </c>
      <c r="C13" s="2" t="s">
        <v>10</v>
      </c>
      <c r="D13" s="2">
        <v>13594807</v>
      </c>
      <c r="E13" s="19">
        <v>49</v>
      </c>
    </row>
    <row r="14" spans="1:7" x14ac:dyDescent="0.35">
      <c r="A14" s="23">
        <v>43076</v>
      </c>
      <c r="B14" s="2" t="s">
        <v>13</v>
      </c>
      <c r="C14" s="2" t="s">
        <v>14</v>
      </c>
      <c r="D14" s="2">
        <v>6903809</v>
      </c>
      <c r="E14" s="19">
        <v>49</v>
      </c>
    </row>
    <row r="15" spans="1:7" x14ac:dyDescent="0.35">
      <c r="A15" s="23">
        <v>43076</v>
      </c>
      <c r="B15" s="2" t="s">
        <v>15</v>
      </c>
      <c r="C15" s="2" t="s">
        <v>16</v>
      </c>
      <c r="D15" s="2">
        <v>7521462</v>
      </c>
      <c r="E15" s="19">
        <v>49</v>
      </c>
    </row>
    <row r="16" spans="1:7" x14ac:dyDescent="0.35">
      <c r="A16" s="23">
        <v>43083</v>
      </c>
      <c r="B16" s="2" t="s">
        <v>6</v>
      </c>
      <c r="C16" s="2" t="s">
        <v>7</v>
      </c>
      <c r="D16" s="2">
        <v>21535828</v>
      </c>
      <c r="E16" s="19">
        <v>50</v>
      </c>
    </row>
    <row r="17" spans="1:5" x14ac:dyDescent="0.35">
      <c r="A17" s="23">
        <v>43083</v>
      </c>
      <c r="B17" s="2" t="s">
        <v>17</v>
      </c>
      <c r="C17" s="2" t="s">
        <v>18</v>
      </c>
      <c r="D17" s="2">
        <v>5436759</v>
      </c>
      <c r="E17" s="19">
        <v>50</v>
      </c>
    </row>
    <row r="18" spans="1:5" x14ac:dyDescent="0.35">
      <c r="A18" s="23">
        <v>43083</v>
      </c>
      <c r="B18" s="2" t="s">
        <v>11</v>
      </c>
      <c r="C18" s="2" t="s">
        <v>12</v>
      </c>
      <c r="D18" s="2">
        <v>9148642</v>
      </c>
      <c r="E18" s="19">
        <v>50</v>
      </c>
    </row>
    <row r="19" spans="1:5" x14ac:dyDescent="0.35">
      <c r="A19" s="23">
        <v>43083</v>
      </c>
      <c r="B19" s="2" t="s">
        <v>9</v>
      </c>
      <c r="C19" s="2" t="s">
        <v>10</v>
      </c>
      <c r="D19" s="2">
        <v>14990547</v>
      </c>
      <c r="E19" s="19">
        <v>50</v>
      </c>
    </row>
    <row r="20" spans="1:5" x14ac:dyDescent="0.35">
      <c r="A20" s="23">
        <v>43083</v>
      </c>
      <c r="B20" s="2" t="s">
        <v>13</v>
      </c>
      <c r="C20" s="2" t="s">
        <v>14</v>
      </c>
      <c r="D20" s="2">
        <v>7888911</v>
      </c>
      <c r="E20" s="19">
        <v>50</v>
      </c>
    </row>
    <row r="21" spans="1:5" x14ac:dyDescent="0.35">
      <c r="A21" s="23">
        <v>43083</v>
      </c>
      <c r="B21" s="2" t="s">
        <v>15</v>
      </c>
      <c r="C21" s="2" t="s">
        <v>16</v>
      </c>
      <c r="D21" s="2">
        <v>8590324</v>
      </c>
      <c r="E21" s="19">
        <v>50</v>
      </c>
    </row>
    <row r="22" spans="1:5" x14ac:dyDescent="0.35">
      <c r="A22" s="23">
        <v>43090</v>
      </c>
      <c r="B22" s="2" t="s">
        <v>6</v>
      </c>
      <c r="C22" s="2" t="s">
        <v>7</v>
      </c>
      <c r="D22" s="2">
        <v>23318198</v>
      </c>
      <c r="E22" s="19">
        <v>51</v>
      </c>
    </row>
    <row r="23" spans="1:5" x14ac:dyDescent="0.35">
      <c r="A23" s="23">
        <v>43090</v>
      </c>
      <c r="B23" s="2" t="s">
        <v>17</v>
      </c>
      <c r="C23" s="2" t="s">
        <v>18</v>
      </c>
      <c r="D23" s="2">
        <v>6030397</v>
      </c>
      <c r="E23" s="19">
        <v>51</v>
      </c>
    </row>
    <row r="24" spans="1:5" x14ac:dyDescent="0.35">
      <c r="A24" s="23">
        <v>43090</v>
      </c>
      <c r="B24" s="2" t="s">
        <v>11</v>
      </c>
      <c r="C24" s="2" t="s">
        <v>12</v>
      </c>
      <c r="D24" s="2">
        <v>10104650</v>
      </c>
      <c r="E24" s="19">
        <v>51</v>
      </c>
    </row>
    <row r="25" spans="1:5" x14ac:dyDescent="0.35">
      <c r="A25" s="23">
        <v>43090</v>
      </c>
      <c r="B25" s="2" t="s">
        <v>19</v>
      </c>
      <c r="C25" s="2" t="s">
        <v>20</v>
      </c>
      <c r="D25" s="2">
        <v>6469998</v>
      </c>
      <c r="E25" s="19">
        <v>51</v>
      </c>
    </row>
    <row r="26" spans="1:5" x14ac:dyDescent="0.35">
      <c r="A26" s="23">
        <v>43090</v>
      </c>
      <c r="B26" s="2" t="s">
        <v>9</v>
      </c>
      <c r="C26" s="2" t="s">
        <v>10</v>
      </c>
      <c r="D26" s="2">
        <v>16218650</v>
      </c>
      <c r="E26" s="19">
        <v>51</v>
      </c>
    </row>
    <row r="27" spans="1:5" x14ac:dyDescent="0.35">
      <c r="A27" s="23">
        <v>43090</v>
      </c>
      <c r="B27" s="2" t="s">
        <v>13</v>
      </c>
      <c r="C27" s="2" t="s">
        <v>14</v>
      </c>
      <c r="D27" s="2">
        <v>8760279</v>
      </c>
      <c r="E27" s="19">
        <v>51</v>
      </c>
    </row>
    <row r="28" spans="1:5" x14ac:dyDescent="0.35">
      <c r="A28" s="23">
        <v>43090</v>
      </c>
      <c r="B28" s="2" t="s">
        <v>15</v>
      </c>
      <c r="C28" s="2" t="s">
        <v>16</v>
      </c>
      <c r="D28" s="2">
        <v>8712246</v>
      </c>
      <c r="E28" s="19">
        <v>51</v>
      </c>
    </row>
    <row r="29" spans="1:5" x14ac:dyDescent="0.35">
      <c r="A29" s="23">
        <v>43097</v>
      </c>
      <c r="B29" s="2" t="s">
        <v>6</v>
      </c>
      <c r="C29" s="2" t="s">
        <v>7</v>
      </c>
      <c r="D29" s="2">
        <v>27628914</v>
      </c>
      <c r="E29" s="19">
        <v>52</v>
      </c>
    </row>
    <row r="30" spans="1:5" x14ac:dyDescent="0.35">
      <c r="A30" s="23">
        <v>43097</v>
      </c>
      <c r="B30" s="2" t="s">
        <v>17</v>
      </c>
      <c r="C30" s="2" t="s">
        <v>18</v>
      </c>
      <c r="D30" s="2">
        <v>9296091</v>
      </c>
      <c r="E30" s="19">
        <v>52</v>
      </c>
    </row>
    <row r="31" spans="1:5" x14ac:dyDescent="0.35">
      <c r="A31" s="23">
        <v>43097</v>
      </c>
      <c r="B31" s="2" t="s">
        <v>11</v>
      </c>
      <c r="C31" s="2" t="s">
        <v>12</v>
      </c>
      <c r="D31" s="2">
        <v>13357262</v>
      </c>
      <c r="E31" s="19">
        <v>52</v>
      </c>
    </row>
    <row r="32" spans="1:5" x14ac:dyDescent="0.35">
      <c r="A32" s="23">
        <v>43097</v>
      </c>
      <c r="B32" s="2" t="s">
        <v>19</v>
      </c>
      <c r="C32" s="2" t="s">
        <v>20</v>
      </c>
      <c r="D32" s="2">
        <v>9781597</v>
      </c>
      <c r="E32" s="19">
        <v>52</v>
      </c>
    </row>
    <row r="33" spans="1:5" x14ac:dyDescent="0.35">
      <c r="A33" s="23">
        <v>43097</v>
      </c>
      <c r="B33" s="2" t="s">
        <v>9</v>
      </c>
      <c r="C33" s="2" t="s">
        <v>10</v>
      </c>
      <c r="D33" s="2">
        <v>21543828</v>
      </c>
      <c r="E33" s="19">
        <v>52</v>
      </c>
    </row>
    <row r="34" spans="1:5" x14ac:dyDescent="0.35">
      <c r="A34" s="23">
        <v>43097</v>
      </c>
      <c r="B34" s="2" t="s">
        <v>13</v>
      </c>
      <c r="C34" s="2" t="s">
        <v>14</v>
      </c>
      <c r="D34" s="2">
        <v>11900150</v>
      </c>
      <c r="E34" s="19">
        <v>52</v>
      </c>
    </row>
    <row r="35" spans="1:5" x14ac:dyDescent="0.35">
      <c r="A35" s="23">
        <v>43097</v>
      </c>
      <c r="B35" s="2" t="s">
        <v>15</v>
      </c>
      <c r="C35" s="2" t="s">
        <v>16</v>
      </c>
      <c r="D35" s="2">
        <v>11977857</v>
      </c>
      <c r="E35" s="19">
        <v>52</v>
      </c>
    </row>
    <row r="36" spans="1:5" x14ac:dyDescent="0.35">
      <c r="A36" s="23">
        <v>43419</v>
      </c>
      <c r="B36" s="2" t="s">
        <v>6</v>
      </c>
      <c r="C36" s="2" t="s">
        <v>7</v>
      </c>
      <c r="D36" s="2">
        <v>5967226</v>
      </c>
      <c r="E36" s="19">
        <v>46</v>
      </c>
    </row>
    <row r="37" spans="1:5" x14ac:dyDescent="0.35">
      <c r="A37" s="23">
        <v>43426</v>
      </c>
      <c r="B37" s="2" t="s">
        <v>6</v>
      </c>
      <c r="C37" s="2" t="s">
        <v>7</v>
      </c>
      <c r="D37" s="2">
        <v>9371356</v>
      </c>
      <c r="E37" s="19">
        <v>47</v>
      </c>
    </row>
    <row r="38" spans="1:5" x14ac:dyDescent="0.35">
      <c r="A38" s="23">
        <v>43426</v>
      </c>
      <c r="B38" s="2" t="s">
        <v>11</v>
      </c>
      <c r="C38" s="2" t="s">
        <v>12</v>
      </c>
      <c r="D38" s="2">
        <v>4139746</v>
      </c>
      <c r="E38" s="19">
        <v>47</v>
      </c>
    </row>
    <row r="39" spans="1:5" x14ac:dyDescent="0.35">
      <c r="A39" s="23">
        <v>43426</v>
      </c>
      <c r="B39" s="2" t="s">
        <v>9</v>
      </c>
      <c r="C39" s="2" t="s">
        <v>10</v>
      </c>
      <c r="D39" s="2">
        <v>5648833</v>
      </c>
      <c r="E39" s="19">
        <v>47</v>
      </c>
    </row>
    <row r="40" spans="1:5" x14ac:dyDescent="0.35">
      <c r="A40" s="23">
        <v>43426</v>
      </c>
      <c r="B40" s="2" t="s">
        <v>13</v>
      </c>
      <c r="C40" s="2" t="s">
        <v>14</v>
      </c>
      <c r="D40" s="2">
        <v>4296514</v>
      </c>
      <c r="E40" s="19">
        <v>47</v>
      </c>
    </row>
    <row r="41" spans="1:5" x14ac:dyDescent="0.35">
      <c r="A41" s="23">
        <v>43426</v>
      </c>
      <c r="B41" s="2" t="s">
        <v>15</v>
      </c>
      <c r="C41" s="2" t="s">
        <v>16</v>
      </c>
      <c r="D41" s="2">
        <v>4938848</v>
      </c>
      <c r="E41" s="19">
        <v>47</v>
      </c>
    </row>
    <row r="42" spans="1:5" x14ac:dyDescent="0.35">
      <c r="A42" s="23">
        <v>43433</v>
      </c>
      <c r="B42" s="2" t="s">
        <v>6</v>
      </c>
      <c r="C42" s="2" t="s">
        <v>7</v>
      </c>
      <c r="D42" s="2">
        <v>14533064</v>
      </c>
      <c r="E42" s="19">
        <v>48</v>
      </c>
    </row>
    <row r="43" spans="1:5" x14ac:dyDescent="0.35">
      <c r="A43" s="23">
        <v>43433</v>
      </c>
      <c r="B43" s="2" t="s">
        <v>11</v>
      </c>
      <c r="C43" s="2" t="s">
        <v>12</v>
      </c>
      <c r="D43" s="2">
        <v>6955231</v>
      </c>
      <c r="E43" s="19">
        <v>48</v>
      </c>
    </row>
    <row r="44" spans="1:5" x14ac:dyDescent="0.35">
      <c r="A44" s="23">
        <v>43433</v>
      </c>
      <c r="B44" s="2" t="s">
        <v>19</v>
      </c>
      <c r="C44" s="2" t="s">
        <v>20</v>
      </c>
      <c r="D44" s="2">
        <v>7220464</v>
      </c>
      <c r="E44" s="19">
        <v>48</v>
      </c>
    </row>
    <row r="45" spans="1:5" x14ac:dyDescent="0.35">
      <c r="A45" s="23">
        <v>43433</v>
      </c>
      <c r="B45" s="2" t="s">
        <v>9</v>
      </c>
      <c r="C45" s="2" t="s">
        <v>10</v>
      </c>
      <c r="D45" s="2">
        <v>9198949</v>
      </c>
      <c r="E45" s="19">
        <v>48</v>
      </c>
    </row>
    <row r="46" spans="1:5" x14ac:dyDescent="0.35">
      <c r="A46" s="23">
        <v>43433</v>
      </c>
      <c r="B46" s="2" t="s">
        <v>13</v>
      </c>
      <c r="C46" s="2" t="s">
        <v>14</v>
      </c>
      <c r="D46" s="2">
        <v>7409688</v>
      </c>
      <c r="E46" s="19">
        <v>48</v>
      </c>
    </row>
    <row r="47" spans="1:5" x14ac:dyDescent="0.35">
      <c r="A47" s="23">
        <v>43433</v>
      </c>
      <c r="B47" s="2" t="s">
        <v>15</v>
      </c>
      <c r="C47" s="2" t="s">
        <v>16</v>
      </c>
      <c r="D47" s="2">
        <v>9078130</v>
      </c>
      <c r="E47" s="19">
        <v>48</v>
      </c>
    </row>
    <row r="48" spans="1:5" x14ac:dyDescent="0.35">
      <c r="A48" s="23">
        <v>43440</v>
      </c>
      <c r="B48" s="2" t="s">
        <v>6</v>
      </c>
      <c r="C48" s="2" t="s">
        <v>7</v>
      </c>
      <c r="D48" s="2">
        <v>24036955</v>
      </c>
      <c r="E48" s="19">
        <v>49</v>
      </c>
    </row>
    <row r="49" spans="1:5" x14ac:dyDescent="0.35">
      <c r="A49" s="23">
        <v>43440</v>
      </c>
      <c r="B49" s="2" t="s">
        <v>17</v>
      </c>
      <c r="C49" s="2" t="s">
        <v>18</v>
      </c>
      <c r="D49" s="2">
        <v>6412898</v>
      </c>
      <c r="E49" s="19">
        <v>49</v>
      </c>
    </row>
    <row r="50" spans="1:5" x14ac:dyDescent="0.35">
      <c r="A50" s="23">
        <v>43440</v>
      </c>
      <c r="B50" s="2" t="s">
        <v>11</v>
      </c>
      <c r="C50" s="2" t="s">
        <v>12</v>
      </c>
      <c r="D50" s="2">
        <v>13014838</v>
      </c>
      <c r="E50" s="19">
        <v>49</v>
      </c>
    </row>
    <row r="51" spans="1:5" x14ac:dyDescent="0.35">
      <c r="A51" s="23">
        <v>43440</v>
      </c>
      <c r="B51" s="2" t="s">
        <v>19</v>
      </c>
      <c r="C51" s="2" t="s">
        <v>20</v>
      </c>
      <c r="D51" s="2">
        <v>12304877</v>
      </c>
      <c r="E51" s="19">
        <v>49</v>
      </c>
    </row>
    <row r="52" spans="1:5" x14ac:dyDescent="0.35">
      <c r="A52" s="23">
        <v>43440</v>
      </c>
      <c r="B52" s="2" t="s">
        <v>9</v>
      </c>
      <c r="C52" s="2" t="s">
        <v>10</v>
      </c>
      <c r="D52" s="2">
        <v>16058707</v>
      </c>
      <c r="E52" s="19">
        <v>49</v>
      </c>
    </row>
    <row r="53" spans="1:5" x14ac:dyDescent="0.35">
      <c r="A53" s="23">
        <v>43440</v>
      </c>
      <c r="B53" s="2" t="s">
        <v>13</v>
      </c>
      <c r="C53" s="2" t="s">
        <v>14</v>
      </c>
      <c r="D53" s="2">
        <v>11609964</v>
      </c>
      <c r="E53" s="19">
        <v>49</v>
      </c>
    </row>
    <row r="54" spans="1:5" x14ac:dyDescent="0.35">
      <c r="A54" s="23">
        <v>43440</v>
      </c>
      <c r="B54" s="2" t="s">
        <v>15</v>
      </c>
      <c r="C54" s="2" t="s">
        <v>16</v>
      </c>
      <c r="D54" s="2">
        <v>16471103</v>
      </c>
      <c r="E54" s="19">
        <v>49</v>
      </c>
    </row>
    <row r="55" spans="1:5" x14ac:dyDescent="0.35">
      <c r="A55" s="23">
        <v>43447</v>
      </c>
      <c r="B55" s="2" t="s">
        <v>6</v>
      </c>
      <c r="C55" s="2" t="s">
        <v>7</v>
      </c>
      <c r="D55" s="2">
        <v>23468009</v>
      </c>
      <c r="E55" s="19">
        <v>50</v>
      </c>
    </row>
    <row r="56" spans="1:5" x14ac:dyDescent="0.35">
      <c r="A56" s="23">
        <v>43447</v>
      </c>
      <c r="B56" s="2" t="s">
        <v>17</v>
      </c>
      <c r="C56" s="2" t="s">
        <v>18</v>
      </c>
      <c r="D56" s="2">
        <v>7233202</v>
      </c>
      <c r="E56" s="19">
        <v>50</v>
      </c>
    </row>
    <row r="57" spans="1:5" x14ac:dyDescent="0.35">
      <c r="A57" s="23">
        <v>43447</v>
      </c>
      <c r="B57" s="2" t="s">
        <v>11</v>
      </c>
      <c r="C57" s="2" t="s">
        <v>12</v>
      </c>
      <c r="D57" s="2">
        <v>14210646</v>
      </c>
      <c r="E57" s="19">
        <v>50</v>
      </c>
    </row>
    <row r="58" spans="1:5" x14ac:dyDescent="0.35">
      <c r="A58" s="23">
        <v>43447</v>
      </c>
      <c r="B58" s="2" t="s">
        <v>19</v>
      </c>
      <c r="C58" s="2" t="s">
        <v>20</v>
      </c>
      <c r="D58" s="2">
        <v>13163696</v>
      </c>
      <c r="E58" s="19">
        <v>50</v>
      </c>
    </row>
    <row r="59" spans="1:5" x14ac:dyDescent="0.35">
      <c r="A59" s="23">
        <v>43447</v>
      </c>
      <c r="B59" s="2" t="s">
        <v>9</v>
      </c>
      <c r="C59" s="2" t="s">
        <v>10</v>
      </c>
      <c r="D59" s="2">
        <v>18720379</v>
      </c>
      <c r="E59" s="19">
        <v>50</v>
      </c>
    </row>
    <row r="60" spans="1:5" x14ac:dyDescent="0.35">
      <c r="A60" s="23">
        <v>43447</v>
      </c>
      <c r="B60" s="2" t="s">
        <v>13</v>
      </c>
      <c r="C60" s="2" t="s">
        <v>14</v>
      </c>
      <c r="D60" s="2">
        <v>12622908</v>
      </c>
      <c r="E60" s="19">
        <v>50</v>
      </c>
    </row>
    <row r="61" spans="1:5" x14ac:dyDescent="0.35">
      <c r="A61" s="23">
        <v>43447</v>
      </c>
      <c r="B61" s="2" t="s">
        <v>15</v>
      </c>
      <c r="C61" s="2" t="s">
        <v>16</v>
      </c>
      <c r="D61" s="2">
        <v>14934312</v>
      </c>
      <c r="E61" s="19">
        <v>50</v>
      </c>
    </row>
    <row r="62" spans="1:5" x14ac:dyDescent="0.35">
      <c r="A62" s="23">
        <v>43454</v>
      </c>
      <c r="B62" s="2" t="s">
        <v>6</v>
      </c>
      <c r="C62" s="2" t="s">
        <v>7</v>
      </c>
      <c r="D62" s="2">
        <v>26819265</v>
      </c>
      <c r="E62" s="19">
        <v>51</v>
      </c>
    </row>
    <row r="63" spans="1:5" x14ac:dyDescent="0.35">
      <c r="A63" s="23">
        <v>43454</v>
      </c>
      <c r="B63" s="2" t="s">
        <v>17</v>
      </c>
      <c r="C63" s="2" t="s">
        <v>18</v>
      </c>
      <c r="D63" s="2">
        <v>8326667</v>
      </c>
      <c r="E63" s="19">
        <v>51</v>
      </c>
    </row>
    <row r="64" spans="1:5" x14ac:dyDescent="0.35">
      <c r="A64" s="23">
        <v>43454</v>
      </c>
      <c r="B64" s="2" t="s">
        <v>11</v>
      </c>
      <c r="C64" s="2" t="s">
        <v>12</v>
      </c>
      <c r="D64" s="2">
        <v>15912361</v>
      </c>
      <c r="E64" s="19">
        <v>51</v>
      </c>
    </row>
    <row r="65" spans="1:5" x14ac:dyDescent="0.35">
      <c r="A65" s="23">
        <v>43454</v>
      </c>
      <c r="B65" s="2" t="s">
        <v>19</v>
      </c>
      <c r="C65" s="2" t="s">
        <v>20</v>
      </c>
      <c r="D65" s="2">
        <v>14601397</v>
      </c>
      <c r="E65" s="19">
        <v>51</v>
      </c>
    </row>
    <row r="66" spans="1:5" x14ac:dyDescent="0.35">
      <c r="A66" s="23">
        <v>43454</v>
      </c>
      <c r="B66" s="2" t="s">
        <v>9</v>
      </c>
      <c r="C66" s="2" t="s">
        <v>10</v>
      </c>
      <c r="D66" s="2">
        <v>21408808</v>
      </c>
      <c r="E66" s="19">
        <v>51</v>
      </c>
    </row>
    <row r="67" spans="1:5" x14ac:dyDescent="0.35">
      <c r="A67" s="23">
        <v>43454</v>
      </c>
      <c r="B67" s="2" t="s">
        <v>13</v>
      </c>
      <c r="C67" s="2" t="s">
        <v>14</v>
      </c>
      <c r="D67" s="2">
        <v>14462557</v>
      </c>
      <c r="E67" s="19">
        <v>51</v>
      </c>
    </row>
    <row r="68" spans="1:5" x14ac:dyDescent="0.35">
      <c r="A68" s="23">
        <v>43454</v>
      </c>
      <c r="B68" s="2" t="s">
        <v>15</v>
      </c>
      <c r="C68" s="2" t="s">
        <v>16</v>
      </c>
      <c r="D68" s="2">
        <v>18210221</v>
      </c>
      <c r="E68" s="19">
        <v>51</v>
      </c>
    </row>
    <row r="69" spans="1:5" x14ac:dyDescent="0.35">
      <c r="A69" s="23">
        <v>43461</v>
      </c>
      <c r="B69" s="2" t="s">
        <v>6</v>
      </c>
      <c r="C69" s="2" t="s">
        <v>7</v>
      </c>
      <c r="D69" s="2">
        <v>39567108</v>
      </c>
      <c r="E69" s="19">
        <v>52</v>
      </c>
    </row>
    <row r="70" spans="1:5" x14ac:dyDescent="0.35">
      <c r="A70" s="23">
        <v>43461</v>
      </c>
      <c r="B70" s="2" t="s">
        <v>17</v>
      </c>
      <c r="C70" s="2" t="s">
        <v>18</v>
      </c>
      <c r="D70" s="2">
        <v>14719120</v>
      </c>
      <c r="E70" s="19">
        <v>52</v>
      </c>
    </row>
    <row r="71" spans="1:5" x14ac:dyDescent="0.35">
      <c r="A71" s="23">
        <v>43461</v>
      </c>
      <c r="B71" s="2" t="s">
        <v>11</v>
      </c>
      <c r="C71" s="2" t="s">
        <v>12</v>
      </c>
      <c r="D71" s="2">
        <v>24492004</v>
      </c>
      <c r="E71" s="19">
        <v>52</v>
      </c>
    </row>
    <row r="72" spans="1:5" x14ac:dyDescent="0.35">
      <c r="A72" s="23">
        <v>43461</v>
      </c>
      <c r="B72" s="2" t="s">
        <v>19</v>
      </c>
      <c r="C72" s="2" t="s">
        <v>20</v>
      </c>
      <c r="D72" s="2">
        <v>22414165</v>
      </c>
      <c r="E72" s="19">
        <v>52</v>
      </c>
    </row>
    <row r="73" spans="1:5" x14ac:dyDescent="0.35">
      <c r="A73" s="23">
        <v>43461</v>
      </c>
      <c r="B73" s="2" t="s">
        <v>9</v>
      </c>
      <c r="C73" s="2" t="s">
        <v>10</v>
      </c>
      <c r="D73" s="2">
        <v>32326595</v>
      </c>
      <c r="E73" s="19">
        <v>52</v>
      </c>
    </row>
    <row r="74" spans="1:5" x14ac:dyDescent="0.35">
      <c r="A74" s="23">
        <v>43461</v>
      </c>
      <c r="B74" s="2" t="s">
        <v>13</v>
      </c>
      <c r="C74" s="2" t="s">
        <v>14</v>
      </c>
      <c r="D74" s="2">
        <v>22360872</v>
      </c>
      <c r="E74" s="19">
        <v>52</v>
      </c>
    </row>
    <row r="75" spans="1:5" x14ac:dyDescent="0.35">
      <c r="A75" s="23">
        <v>43461</v>
      </c>
      <c r="B75" s="2" t="s">
        <v>15</v>
      </c>
      <c r="C75" s="2" t="s">
        <v>16</v>
      </c>
      <c r="D75" s="2">
        <v>26841408</v>
      </c>
      <c r="E75" s="19">
        <v>52</v>
      </c>
    </row>
    <row r="76" spans="1:5" x14ac:dyDescent="0.35">
      <c r="A76" s="23">
        <v>43776</v>
      </c>
      <c r="B76" s="2" t="s">
        <v>6</v>
      </c>
      <c r="C76" s="2" t="s">
        <v>7</v>
      </c>
      <c r="D76" s="2">
        <v>5005576</v>
      </c>
      <c r="E76" s="19">
        <v>45</v>
      </c>
    </row>
    <row r="77" spans="1:5" x14ac:dyDescent="0.35">
      <c r="A77" s="23">
        <v>43783</v>
      </c>
      <c r="B77" s="2" t="s">
        <v>6</v>
      </c>
      <c r="C77" s="2" t="s">
        <v>7</v>
      </c>
      <c r="D77" s="2">
        <v>6570623</v>
      </c>
      <c r="E77" s="19">
        <v>46</v>
      </c>
    </row>
    <row r="78" spans="1:5" x14ac:dyDescent="0.35">
      <c r="A78" s="23">
        <v>43783</v>
      </c>
      <c r="B78" s="2" t="s">
        <v>9</v>
      </c>
      <c r="C78" s="2" t="s">
        <v>10</v>
      </c>
      <c r="D78" s="2">
        <v>4795477</v>
      </c>
      <c r="E78" s="19">
        <v>46</v>
      </c>
    </row>
    <row r="79" spans="1:5" x14ac:dyDescent="0.35">
      <c r="A79" s="23">
        <v>43790</v>
      </c>
      <c r="B79" s="2" t="s">
        <v>6</v>
      </c>
      <c r="C79" s="2" t="s">
        <v>7</v>
      </c>
      <c r="D79" s="2">
        <v>8344450</v>
      </c>
      <c r="E79" s="19">
        <v>47</v>
      </c>
    </row>
    <row r="80" spans="1:5" x14ac:dyDescent="0.35">
      <c r="A80" s="23">
        <v>43790</v>
      </c>
      <c r="B80" s="2" t="s">
        <v>9</v>
      </c>
      <c r="C80" s="2" t="s">
        <v>10</v>
      </c>
      <c r="D80" s="2">
        <v>6166454</v>
      </c>
      <c r="E80" s="19">
        <v>47</v>
      </c>
    </row>
    <row r="81" spans="1:5" x14ac:dyDescent="0.35">
      <c r="A81" s="23">
        <v>43790</v>
      </c>
      <c r="B81" s="2" t="s">
        <v>15</v>
      </c>
      <c r="C81" s="2" t="s">
        <v>16</v>
      </c>
      <c r="D81" s="2">
        <v>5121609</v>
      </c>
      <c r="E81" s="19">
        <v>47</v>
      </c>
    </row>
    <row r="82" spans="1:5" x14ac:dyDescent="0.35">
      <c r="A82" s="23">
        <v>43797</v>
      </c>
      <c r="B82" s="2" t="s">
        <v>6</v>
      </c>
      <c r="C82" s="2" t="s">
        <v>7</v>
      </c>
      <c r="D82" s="2">
        <v>12612693</v>
      </c>
      <c r="E82" s="19">
        <v>48</v>
      </c>
    </row>
    <row r="83" spans="1:5" x14ac:dyDescent="0.35">
      <c r="A83" s="23">
        <v>43797</v>
      </c>
      <c r="B83" s="2" t="s">
        <v>11</v>
      </c>
      <c r="C83" s="2" t="s">
        <v>12</v>
      </c>
      <c r="D83" s="2">
        <v>6183295</v>
      </c>
      <c r="E83" s="19">
        <v>48</v>
      </c>
    </row>
    <row r="84" spans="1:5" x14ac:dyDescent="0.35">
      <c r="A84" s="23">
        <v>43797</v>
      </c>
      <c r="B84" s="2" t="s">
        <v>19</v>
      </c>
      <c r="C84" s="2" t="s">
        <v>20</v>
      </c>
      <c r="D84" s="2">
        <v>5558342</v>
      </c>
      <c r="E84" s="19">
        <v>48</v>
      </c>
    </row>
    <row r="85" spans="1:5" x14ac:dyDescent="0.35">
      <c r="A85" s="23">
        <v>43797</v>
      </c>
      <c r="B85" s="2" t="s">
        <v>9</v>
      </c>
      <c r="C85" s="2" t="s">
        <v>10</v>
      </c>
      <c r="D85" s="2">
        <v>9167657</v>
      </c>
      <c r="E85" s="19">
        <v>48</v>
      </c>
    </row>
    <row r="86" spans="1:5" x14ac:dyDescent="0.35">
      <c r="A86" s="23">
        <v>43797</v>
      </c>
      <c r="B86" s="2" t="s">
        <v>13</v>
      </c>
      <c r="C86" s="2" t="s">
        <v>14</v>
      </c>
      <c r="D86" s="2">
        <v>5588808</v>
      </c>
      <c r="E86" s="19">
        <v>48</v>
      </c>
    </row>
    <row r="87" spans="1:5" x14ac:dyDescent="0.35">
      <c r="A87" s="23">
        <v>43797</v>
      </c>
      <c r="B87" s="2" t="s">
        <v>15</v>
      </c>
      <c r="C87" s="2" t="s">
        <v>16</v>
      </c>
      <c r="D87" s="2">
        <v>7367685</v>
      </c>
      <c r="E87" s="19">
        <v>48</v>
      </c>
    </row>
    <row r="88" spans="1:5" x14ac:dyDescent="0.35">
      <c r="A88" s="23">
        <v>43804</v>
      </c>
      <c r="B88" s="2" t="s">
        <v>6</v>
      </c>
      <c r="C88" s="2" t="s">
        <v>7</v>
      </c>
      <c r="D88" s="2">
        <v>22394175</v>
      </c>
      <c r="E88" s="19">
        <v>49</v>
      </c>
    </row>
    <row r="89" spans="1:5" x14ac:dyDescent="0.35">
      <c r="A89" s="23">
        <v>43804</v>
      </c>
      <c r="B89" s="2" t="s">
        <v>17</v>
      </c>
      <c r="C89" s="2" t="s">
        <v>18</v>
      </c>
      <c r="D89" s="2">
        <v>7517050</v>
      </c>
      <c r="E89" s="19">
        <v>49</v>
      </c>
    </row>
    <row r="90" spans="1:5" x14ac:dyDescent="0.35">
      <c r="A90" s="23">
        <v>43804</v>
      </c>
      <c r="B90" s="2" t="s">
        <v>11</v>
      </c>
      <c r="C90" s="2" t="s">
        <v>12</v>
      </c>
      <c r="D90" s="2">
        <v>12258394</v>
      </c>
      <c r="E90" s="19">
        <v>49</v>
      </c>
    </row>
    <row r="91" spans="1:5" x14ac:dyDescent="0.35">
      <c r="A91" s="23">
        <v>43804</v>
      </c>
      <c r="B91" s="2" t="s">
        <v>19</v>
      </c>
      <c r="C91" s="2" t="s">
        <v>20</v>
      </c>
      <c r="D91" s="2">
        <v>10901943</v>
      </c>
      <c r="E91" s="19">
        <v>49</v>
      </c>
    </row>
    <row r="92" spans="1:5" x14ac:dyDescent="0.35">
      <c r="A92" s="23">
        <v>43804</v>
      </c>
      <c r="B92" s="2" t="s">
        <v>9</v>
      </c>
      <c r="C92" s="2" t="s">
        <v>10</v>
      </c>
      <c r="D92" s="2">
        <v>17615075</v>
      </c>
      <c r="E92" s="19">
        <v>49</v>
      </c>
    </row>
    <row r="93" spans="1:5" x14ac:dyDescent="0.35">
      <c r="A93" s="23">
        <v>43804</v>
      </c>
      <c r="B93" s="2" t="s">
        <v>13</v>
      </c>
      <c r="C93" s="2" t="s">
        <v>14</v>
      </c>
      <c r="D93" s="2">
        <v>11155568</v>
      </c>
      <c r="E93" s="19">
        <v>49</v>
      </c>
    </row>
    <row r="94" spans="1:5" x14ac:dyDescent="0.35">
      <c r="A94" s="23">
        <v>43804</v>
      </c>
      <c r="B94" s="2" t="s">
        <v>15</v>
      </c>
      <c r="C94" s="2" t="s">
        <v>16</v>
      </c>
      <c r="D94" s="2">
        <v>14107437</v>
      </c>
      <c r="E94" s="19">
        <v>49</v>
      </c>
    </row>
    <row r="95" spans="1:5" x14ac:dyDescent="0.35">
      <c r="A95" s="23">
        <v>43811</v>
      </c>
      <c r="B95" s="2" t="s">
        <v>6</v>
      </c>
      <c r="C95" s="2" t="s">
        <v>7</v>
      </c>
      <c r="D95" s="2">
        <v>24024043</v>
      </c>
      <c r="E95" s="19">
        <v>50</v>
      </c>
    </row>
    <row r="96" spans="1:5" x14ac:dyDescent="0.35">
      <c r="A96" s="23">
        <v>43811</v>
      </c>
      <c r="B96" s="2" t="s">
        <v>17</v>
      </c>
      <c r="C96" s="2" t="s">
        <v>18</v>
      </c>
      <c r="D96" s="2">
        <v>8691550</v>
      </c>
      <c r="E96" s="19">
        <v>50</v>
      </c>
    </row>
    <row r="97" spans="1:5" x14ac:dyDescent="0.35">
      <c r="A97" s="23">
        <v>43811</v>
      </c>
      <c r="B97" s="2" t="s">
        <v>11</v>
      </c>
      <c r="C97" s="2" t="s">
        <v>12</v>
      </c>
      <c r="D97" s="2">
        <v>13521227</v>
      </c>
      <c r="E97" s="19">
        <v>50</v>
      </c>
    </row>
    <row r="98" spans="1:5" x14ac:dyDescent="0.35">
      <c r="A98" s="23">
        <v>43811</v>
      </c>
      <c r="B98" s="2" t="s">
        <v>19</v>
      </c>
      <c r="C98" s="2" t="s">
        <v>20</v>
      </c>
      <c r="D98" s="2">
        <v>12457545</v>
      </c>
      <c r="E98" s="19">
        <v>50</v>
      </c>
    </row>
    <row r="99" spans="1:5" x14ac:dyDescent="0.35">
      <c r="A99" s="23">
        <v>43811</v>
      </c>
      <c r="B99" s="2" t="s">
        <v>9</v>
      </c>
      <c r="C99" s="2" t="s">
        <v>10</v>
      </c>
      <c r="D99" s="2">
        <v>19402441</v>
      </c>
      <c r="E99" s="19">
        <v>50</v>
      </c>
    </row>
    <row r="100" spans="1:5" x14ac:dyDescent="0.35">
      <c r="A100" s="23">
        <v>43811</v>
      </c>
      <c r="B100" s="2" t="s">
        <v>13</v>
      </c>
      <c r="C100" s="2" t="s">
        <v>14</v>
      </c>
      <c r="D100" s="2">
        <v>12756056</v>
      </c>
      <c r="E100" s="19">
        <v>50</v>
      </c>
    </row>
    <row r="101" spans="1:5" x14ac:dyDescent="0.35">
      <c r="A101" s="23">
        <v>43811</v>
      </c>
      <c r="B101" s="2" t="s">
        <v>15</v>
      </c>
      <c r="C101" s="2" t="s">
        <v>16</v>
      </c>
      <c r="D101" s="2">
        <v>15382577</v>
      </c>
      <c r="E101" s="19">
        <v>50</v>
      </c>
    </row>
    <row r="102" spans="1:5" x14ac:dyDescent="0.35">
      <c r="A102" s="23">
        <v>43818</v>
      </c>
      <c r="B102" s="2" t="s">
        <v>6</v>
      </c>
      <c r="C102" s="2" t="s">
        <v>7</v>
      </c>
      <c r="D102" s="2">
        <v>27155209</v>
      </c>
      <c r="E102" s="19">
        <v>51</v>
      </c>
    </row>
    <row r="103" spans="1:5" x14ac:dyDescent="0.35">
      <c r="A103" s="23">
        <v>43818</v>
      </c>
      <c r="B103" s="2" t="s">
        <v>17</v>
      </c>
      <c r="C103" s="2" t="s">
        <v>18</v>
      </c>
      <c r="D103" s="2">
        <v>10286298</v>
      </c>
      <c r="E103" s="19">
        <v>51</v>
      </c>
    </row>
    <row r="104" spans="1:5" x14ac:dyDescent="0.35">
      <c r="A104" s="23">
        <v>43818</v>
      </c>
      <c r="B104" s="2" t="s">
        <v>11</v>
      </c>
      <c r="C104" s="2" t="s">
        <v>12</v>
      </c>
      <c r="D104" s="2">
        <v>14847978</v>
      </c>
      <c r="E104" s="19">
        <v>51</v>
      </c>
    </row>
    <row r="105" spans="1:5" x14ac:dyDescent="0.35">
      <c r="A105" s="23">
        <v>43818</v>
      </c>
      <c r="B105" s="2" t="s">
        <v>19</v>
      </c>
      <c r="C105" s="2" t="s">
        <v>20</v>
      </c>
      <c r="D105" s="2">
        <v>14040340</v>
      </c>
      <c r="E105" s="19">
        <v>51</v>
      </c>
    </row>
    <row r="106" spans="1:5" x14ac:dyDescent="0.35">
      <c r="A106" s="23">
        <v>43818</v>
      </c>
      <c r="B106" s="2" t="s">
        <v>9</v>
      </c>
      <c r="C106" s="2" t="s">
        <v>10</v>
      </c>
      <c r="D106" s="2">
        <v>21975011</v>
      </c>
      <c r="E106" s="19">
        <v>51</v>
      </c>
    </row>
    <row r="107" spans="1:5" x14ac:dyDescent="0.35">
      <c r="A107" s="23">
        <v>43818</v>
      </c>
      <c r="B107" s="2" t="s">
        <v>13</v>
      </c>
      <c r="C107" s="2" t="s">
        <v>14</v>
      </c>
      <c r="D107" s="2">
        <v>14078309</v>
      </c>
      <c r="E107" s="19">
        <v>51</v>
      </c>
    </row>
    <row r="108" spans="1:5" x14ac:dyDescent="0.35">
      <c r="A108" s="23">
        <v>43818</v>
      </c>
      <c r="B108" s="2" t="s">
        <v>15</v>
      </c>
      <c r="C108" s="2" t="s">
        <v>16</v>
      </c>
      <c r="D108" s="2">
        <v>17011748</v>
      </c>
      <c r="E108" s="19">
        <v>51</v>
      </c>
    </row>
    <row r="109" spans="1:5" x14ac:dyDescent="0.35">
      <c r="A109" s="23">
        <v>43825</v>
      </c>
      <c r="B109" s="2" t="s">
        <v>6</v>
      </c>
      <c r="C109" s="2" t="s">
        <v>7</v>
      </c>
      <c r="D109" s="2">
        <v>45828931</v>
      </c>
      <c r="E109" s="19">
        <v>52</v>
      </c>
    </row>
    <row r="110" spans="1:5" x14ac:dyDescent="0.35">
      <c r="A110" s="23">
        <v>43825</v>
      </c>
      <c r="B110" s="2" t="s">
        <v>17</v>
      </c>
      <c r="C110" s="2" t="s">
        <v>18</v>
      </c>
      <c r="D110" s="2">
        <v>20300178</v>
      </c>
      <c r="E110" s="19">
        <v>52</v>
      </c>
    </row>
    <row r="111" spans="1:5" x14ac:dyDescent="0.35">
      <c r="A111" s="23">
        <v>43825</v>
      </c>
      <c r="B111" s="2" t="s">
        <v>11</v>
      </c>
      <c r="C111" s="2" t="s">
        <v>12</v>
      </c>
      <c r="D111" s="2">
        <v>25997383</v>
      </c>
      <c r="E111" s="19">
        <v>52</v>
      </c>
    </row>
    <row r="112" spans="1:5" x14ac:dyDescent="0.35">
      <c r="A112" s="23">
        <v>43825</v>
      </c>
      <c r="B112" s="2" t="s">
        <v>19</v>
      </c>
      <c r="C112" s="2" t="s">
        <v>20</v>
      </c>
      <c r="D112" s="2">
        <v>24951120</v>
      </c>
      <c r="E112" s="19">
        <v>52</v>
      </c>
    </row>
    <row r="113" spans="1:5" x14ac:dyDescent="0.35">
      <c r="A113" s="23">
        <v>43825</v>
      </c>
      <c r="B113" s="2" t="s">
        <v>9</v>
      </c>
      <c r="C113" s="2" t="s">
        <v>10</v>
      </c>
      <c r="D113" s="2">
        <v>37725693</v>
      </c>
      <c r="E113" s="19">
        <v>52</v>
      </c>
    </row>
    <row r="114" spans="1:5" x14ac:dyDescent="0.35">
      <c r="A114" s="23">
        <v>43825</v>
      </c>
      <c r="B114" s="2" t="s">
        <v>13</v>
      </c>
      <c r="C114" s="2" t="s">
        <v>14</v>
      </c>
      <c r="D114" s="2">
        <v>24401078</v>
      </c>
      <c r="E114" s="19">
        <v>52</v>
      </c>
    </row>
    <row r="115" spans="1:5" x14ac:dyDescent="0.35">
      <c r="A115" s="23">
        <v>43825</v>
      </c>
      <c r="B115" s="2" t="s">
        <v>15</v>
      </c>
      <c r="C115" s="2" t="s">
        <v>16</v>
      </c>
      <c r="D115" s="2">
        <v>27506141</v>
      </c>
      <c r="E115" s="19">
        <v>52</v>
      </c>
    </row>
    <row r="116" spans="1:5" x14ac:dyDescent="0.35">
      <c r="A116" s="23">
        <v>43832</v>
      </c>
      <c r="B116" s="2" t="s">
        <v>6</v>
      </c>
      <c r="C116" s="2" t="s">
        <v>7</v>
      </c>
      <c r="D116" s="2">
        <v>5241737</v>
      </c>
      <c r="E116" s="19">
        <v>54</v>
      </c>
    </row>
    <row r="117" spans="1:5" x14ac:dyDescent="0.35">
      <c r="A117" s="23">
        <v>44140</v>
      </c>
      <c r="B117" s="2" t="s">
        <v>6</v>
      </c>
      <c r="C117" s="2" t="s">
        <v>7</v>
      </c>
      <c r="D117" s="2">
        <v>5008815</v>
      </c>
      <c r="E117" s="19">
        <v>45</v>
      </c>
    </row>
    <row r="118" spans="1:5" x14ac:dyDescent="0.35">
      <c r="A118" s="23">
        <v>44147</v>
      </c>
      <c r="B118" s="2" t="s">
        <v>6</v>
      </c>
      <c r="C118" s="2" t="s">
        <v>7</v>
      </c>
      <c r="D118" s="2">
        <v>7130162</v>
      </c>
      <c r="E118" s="19">
        <v>46</v>
      </c>
    </row>
    <row r="119" spans="1:5" x14ac:dyDescent="0.35">
      <c r="A119" s="23">
        <v>44147</v>
      </c>
      <c r="B119" s="2" t="s">
        <v>9</v>
      </c>
      <c r="C119" s="2" t="s">
        <v>10</v>
      </c>
      <c r="D119" s="2">
        <v>5385394</v>
      </c>
      <c r="E119" s="19">
        <v>46</v>
      </c>
    </row>
    <row r="120" spans="1:5" x14ac:dyDescent="0.35">
      <c r="A120" s="23">
        <v>44154</v>
      </c>
      <c r="B120" s="2" t="s">
        <v>6</v>
      </c>
      <c r="C120" s="2" t="s">
        <v>7</v>
      </c>
      <c r="D120" s="2">
        <v>10710928</v>
      </c>
      <c r="E120" s="19">
        <v>47</v>
      </c>
    </row>
    <row r="121" spans="1:5" x14ac:dyDescent="0.35">
      <c r="A121" s="23">
        <v>44154</v>
      </c>
      <c r="B121" s="2" t="s">
        <v>11</v>
      </c>
      <c r="C121" s="2" t="s">
        <v>12</v>
      </c>
      <c r="D121" s="2">
        <v>6347297</v>
      </c>
      <c r="E121" s="19">
        <v>47</v>
      </c>
    </row>
    <row r="122" spans="1:5" x14ac:dyDescent="0.35">
      <c r="A122" s="23">
        <v>44154</v>
      </c>
      <c r="B122" s="2" t="s">
        <v>19</v>
      </c>
      <c r="C122" s="2" t="s">
        <v>20</v>
      </c>
      <c r="D122" s="2">
        <v>6085366</v>
      </c>
      <c r="E122" s="19">
        <v>47</v>
      </c>
    </row>
    <row r="123" spans="1:5" x14ac:dyDescent="0.35">
      <c r="A123" s="23">
        <v>44154</v>
      </c>
      <c r="B123" s="2" t="s">
        <v>9</v>
      </c>
      <c r="C123" s="2" t="s">
        <v>10</v>
      </c>
      <c r="D123" s="2">
        <v>8260126</v>
      </c>
      <c r="E123" s="19">
        <v>47</v>
      </c>
    </row>
    <row r="124" spans="1:5" x14ac:dyDescent="0.35">
      <c r="A124" s="23">
        <v>44154</v>
      </c>
      <c r="B124" s="2" t="s">
        <v>13</v>
      </c>
      <c r="C124" s="2" t="s">
        <v>14</v>
      </c>
      <c r="D124" s="2">
        <v>6245707</v>
      </c>
      <c r="E124" s="19">
        <v>47</v>
      </c>
    </row>
    <row r="125" spans="1:5" x14ac:dyDescent="0.35">
      <c r="A125" s="23">
        <v>44154</v>
      </c>
      <c r="B125" s="2" t="s">
        <v>15</v>
      </c>
      <c r="C125" s="2" t="s">
        <v>16</v>
      </c>
      <c r="D125" s="2">
        <v>7008578</v>
      </c>
      <c r="E125" s="19">
        <v>47</v>
      </c>
    </row>
    <row r="126" spans="1:5" x14ac:dyDescent="0.35">
      <c r="A126" s="23">
        <v>44161</v>
      </c>
      <c r="B126" s="2" t="s">
        <v>6</v>
      </c>
      <c r="C126" s="2" t="s">
        <v>7</v>
      </c>
      <c r="D126" s="2">
        <v>17049383</v>
      </c>
      <c r="E126" s="19">
        <v>48</v>
      </c>
    </row>
    <row r="127" spans="1:5" x14ac:dyDescent="0.35">
      <c r="A127" s="23">
        <v>44161</v>
      </c>
      <c r="B127" s="2" t="s">
        <v>17</v>
      </c>
      <c r="C127" s="2" t="s">
        <v>18</v>
      </c>
      <c r="D127" s="2">
        <v>5829640</v>
      </c>
      <c r="E127" s="19">
        <v>48</v>
      </c>
    </row>
    <row r="128" spans="1:5" x14ac:dyDescent="0.35">
      <c r="A128" s="23">
        <v>44161</v>
      </c>
      <c r="B128" s="2" t="s">
        <v>11</v>
      </c>
      <c r="C128" s="2" t="s">
        <v>12</v>
      </c>
      <c r="D128" s="2">
        <v>10582983</v>
      </c>
      <c r="E128" s="19">
        <v>48</v>
      </c>
    </row>
    <row r="129" spans="1:5" x14ac:dyDescent="0.35">
      <c r="A129" s="23">
        <v>44161</v>
      </c>
      <c r="B129" s="2" t="s">
        <v>19</v>
      </c>
      <c r="C129" s="2" t="s">
        <v>20</v>
      </c>
      <c r="D129" s="2">
        <v>9678255</v>
      </c>
      <c r="E129" s="19">
        <v>48</v>
      </c>
    </row>
    <row r="130" spans="1:5" x14ac:dyDescent="0.35">
      <c r="A130" s="23">
        <v>44161</v>
      </c>
      <c r="B130" s="2" t="s">
        <v>9</v>
      </c>
      <c r="C130" s="2" t="s">
        <v>10</v>
      </c>
      <c r="D130" s="2">
        <v>13660931</v>
      </c>
      <c r="E130" s="19">
        <v>48</v>
      </c>
    </row>
    <row r="131" spans="1:5" x14ac:dyDescent="0.35">
      <c r="A131" s="23">
        <v>44161</v>
      </c>
      <c r="B131" s="2" t="s">
        <v>13</v>
      </c>
      <c r="C131" s="2" t="s">
        <v>14</v>
      </c>
      <c r="D131" s="2">
        <v>9913441</v>
      </c>
      <c r="E131" s="19">
        <v>48</v>
      </c>
    </row>
    <row r="132" spans="1:5" x14ac:dyDescent="0.35">
      <c r="A132" s="23">
        <v>44161</v>
      </c>
      <c r="B132" s="2" t="s">
        <v>15</v>
      </c>
      <c r="C132" s="2" t="s">
        <v>16</v>
      </c>
      <c r="D132" s="2">
        <v>11284097</v>
      </c>
      <c r="E132" s="19">
        <v>48</v>
      </c>
    </row>
    <row r="133" spans="1:5" x14ac:dyDescent="0.35">
      <c r="A133" s="23">
        <v>44168</v>
      </c>
      <c r="B133" s="2" t="s">
        <v>6</v>
      </c>
      <c r="C133" s="2" t="s">
        <v>7</v>
      </c>
      <c r="D133" s="2">
        <v>28851001</v>
      </c>
      <c r="E133" s="19">
        <v>49</v>
      </c>
    </row>
    <row r="134" spans="1:5" x14ac:dyDescent="0.35">
      <c r="A134" s="23">
        <v>44168</v>
      </c>
      <c r="B134" s="2" t="s">
        <v>17</v>
      </c>
      <c r="C134" s="2" t="s">
        <v>18</v>
      </c>
      <c r="D134" s="2">
        <v>11016398</v>
      </c>
      <c r="E134" s="19">
        <v>49</v>
      </c>
    </row>
    <row r="135" spans="1:5" x14ac:dyDescent="0.35">
      <c r="A135" s="23">
        <v>44168</v>
      </c>
      <c r="B135" s="2" t="s">
        <v>11</v>
      </c>
      <c r="C135" s="2" t="s">
        <v>12</v>
      </c>
      <c r="D135" s="2">
        <v>19245044</v>
      </c>
      <c r="E135" s="19">
        <v>49</v>
      </c>
    </row>
    <row r="136" spans="1:5" x14ac:dyDescent="0.35">
      <c r="A136" s="23">
        <v>44168</v>
      </c>
      <c r="B136" s="2" t="s">
        <v>19</v>
      </c>
      <c r="C136" s="2" t="s">
        <v>20</v>
      </c>
      <c r="D136" s="2">
        <v>17455348</v>
      </c>
      <c r="E136" s="19">
        <v>49</v>
      </c>
    </row>
    <row r="137" spans="1:5" x14ac:dyDescent="0.35">
      <c r="A137" s="23">
        <v>44168</v>
      </c>
      <c r="B137" s="2" t="s">
        <v>9</v>
      </c>
      <c r="C137" s="2" t="s">
        <v>10</v>
      </c>
      <c r="D137" s="2">
        <v>24561977</v>
      </c>
      <c r="E137" s="19">
        <v>49</v>
      </c>
    </row>
    <row r="138" spans="1:5" x14ac:dyDescent="0.35">
      <c r="A138" s="23">
        <v>44168</v>
      </c>
      <c r="B138" s="2" t="s">
        <v>13</v>
      </c>
      <c r="C138" s="2" t="s">
        <v>14</v>
      </c>
      <c r="D138" s="2">
        <v>17910786</v>
      </c>
      <c r="E138" s="19">
        <v>49</v>
      </c>
    </row>
    <row r="139" spans="1:5" x14ac:dyDescent="0.35">
      <c r="A139" s="23">
        <v>44168</v>
      </c>
      <c r="B139" s="2" t="s">
        <v>15</v>
      </c>
      <c r="C139" s="2" t="s">
        <v>16</v>
      </c>
      <c r="D139" s="2">
        <v>20098148</v>
      </c>
      <c r="E139" s="19">
        <v>49</v>
      </c>
    </row>
    <row r="140" spans="1:5" x14ac:dyDescent="0.35">
      <c r="A140" s="23">
        <v>44175</v>
      </c>
      <c r="B140" s="2" t="s">
        <v>6</v>
      </c>
      <c r="C140" s="2" t="s">
        <v>7</v>
      </c>
      <c r="D140" s="2">
        <v>33463486</v>
      </c>
      <c r="E140" s="19">
        <v>50</v>
      </c>
    </row>
    <row r="141" spans="1:5" x14ac:dyDescent="0.35">
      <c r="A141" s="23">
        <v>44175</v>
      </c>
      <c r="B141" s="2" t="s">
        <v>17</v>
      </c>
      <c r="C141" s="2" t="s">
        <v>18</v>
      </c>
      <c r="D141" s="2">
        <v>13437547</v>
      </c>
      <c r="E141" s="19">
        <v>50</v>
      </c>
    </row>
    <row r="142" spans="1:5" x14ac:dyDescent="0.35">
      <c r="A142" s="23">
        <v>44175</v>
      </c>
      <c r="B142" s="2" t="s">
        <v>11</v>
      </c>
      <c r="C142" s="2" t="s">
        <v>12</v>
      </c>
      <c r="D142" s="2">
        <v>22257026</v>
      </c>
      <c r="E142" s="19">
        <v>50</v>
      </c>
    </row>
    <row r="143" spans="1:5" x14ac:dyDescent="0.35">
      <c r="A143" s="23">
        <v>44175</v>
      </c>
      <c r="B143" s="2" t="s">
        <v>19</v>
      </c>
      <c r="C143" s="2" t="s">
        <v>20</v>
      </c>
      <c r="D143" s="2">
        <v>20577119</v>
      </c>
      <c r="E143" s="19">
        <v>50</v>
      </c>
    </row>
    <row r="144" spans="1:5" x14ac:dyDescent="0.35">
      <c r="A144" s="23">
        <v>44175</v>
      </c>
      <c r="B144" s="2" t="s">
        <v>9</v>
      </c>
      <c r="C144" s="2" t="s">
        <v>10</v>
      </c>
      <c r="D144" s="2">
        <v>28540616</v>
      </c>
      <c r="E144" s="19">
        <v>50</v>
      </c>
    </row>
    <row r="145" spans="1:5" x14ac:dyDescent="0.35">
      <c r="A145" s="23">
        <v>44175</v>
      </c>
      <c r="B145" s="2" t="s">
        <v>13</v>
      </c>
      <c r="C145" s="2" t="s">
        <v>14</v>
      </c>
      <c r="D145" s="2">
        <v>21702857</v>
      </c>
      <c r="E145" s="19">
        <v>50</v>
      </c>
    </row>
    <row r="146" spans="1:5" x14ac:dyDescent="0.35">
      <c r="A146" s="23">
        <v>44175</v>
      </c>
      <c r="B146" s="2" t="s">
        <v>15</v>
      </c>
      <c r="C146" s="2" t="s">
        <v>16</v>
      </c>
      <c r="D146" s="2">
        <v>23873167</v>
      </c>
      <c r="E146" s="19">
        <v>50</v>
      </c>
    </row>
    <row r="147" spans="1:5" x14ac:dyDescent="0.35">
      <c r="A147" s="23">
        <v>44182</v>
      </c>
      <c r="B147" s="2" t="s">
        <v>6</v>
      </c>
      <c r="C147" s="2" t="s">
        <v>7</v>
      </c>
      <c r="D147" s="2">
        <v>32556355</v>
      </c>
      <c r="E147" s="19">
        <v>51</v>
      </c>
    </row>
    <row r="148" spans="1:5" x14ac:dyDescent="0.35">
      <c r="A148" s="23">
        <v>44182</v>
      </c>
      <c r="B148" s="2" t="s">
        <v>17</v>
      </c>
      <c r="C148" s="2" t="s">
        <v>18</v>
      </c>
      <c r="D148" s="2">
        <v>14043735</v>
      </c>
      <c r="E148" s="19">
        <v>51</v>
      </c>
    </row>
    <row r="149" spans="1:5" x14ac:dyDescent="0.35">
      <c r="A149" s="23">
        <v>44182</v>
      </c>
      <c r="B149" s="2" t="s">
        <v>11</v>
      </c>
      <c r="C149" s="2" t="s">
        <v>12</v>
      </c>
      <c r="D149" s="2">
        <v>21728075</v>
      </c>
      <c r="E149" s="19">
        <v>51</v>
      </c>
    </row>
    <row r="150" spans="1:5" x14ac:dyDescent="0.35">
      <c r="A150" s="23">
        <v>44182</v>
      </c>
      <c r="B150" s="2" t="s">
        <v>19</v>
      </c>
      <c r="C150" s="2" t="s">
        <v>20</v>
      </c>
      <c r="D150" s="2">
        <v>21034789</v>
      </c>
      <c r="E150" s="19">
        <v>51</v>
      </c>
    </row>
    <row r="151" spans="1:5" x14ac:dyDescent="0.35">
      <c r="A151" s="23">
        <v>44182</v>
      </c>
      <c r="B151" s="2" t="s">
        <v>9</v>
      </c>
      <c r="C151" s="2" t="s">
        <v>10</v>
      </c>
      <c r="D151" s="2">
        <v>28682836</v>
      </c>
      <c r="E151" s="19">
        <v>51</v>
      </c>
    </row>
    <row r="152" spans="1:5" x14ac:dyDescent="0.35">
      <c r="A152" s="23">
        <v>44182</v>
      </c>
      <c r="B152" s="2" t="s">
        <v>13</v>
      </c>
      <c r="C152" s="2" t="s">
        <v>14</v>
      </c>
      <c r="D152" s="2">
        <v>22518877</v>
      </c>
      <c r="E152" s="19">
        <v>51</v>
      </c>
    </row>
    <row r="153" spans="1:5" x14ac:dyDescent="0.35">
      <c r="A153" s="23">
        <v>44182</v>
      </c>
      <c r="B153" s="2" t="s">
        <v>15</v>
      </c>
      <c r="C153" s="2" t="s">
        <v>16</v>
      </c>
      <c r="D153" s="2">
        <v>23649501</v>
      </c>
      <c r="E153" s="19">
        <v>51</v>
      </c>
    </row>
    <row r="154" spans="1:5" x14ac:dyDescent="0.35">
      <c r="A154" s="23">
        <v>44189</v>
      </c>
      <c r="B154" s="2" t="s">
        <v>6</v>
      </c>
      <c r="C154" s="2" t="s">
        <v>7</v>
      </c>
      <c r="D154" s="2">
        <v>53401383</v>
      </c>
      <c r="E154" s="19">
        <v>52</v>
      </c>
    </row>
    <row r="155" spans="1:5" x14ac:dyDescent="0.35">
      <c r="A155" s="23">
        <v>44189</v>
      </c>
      <c r="B155" s="2" t="s">
        <v>17</v>
      </c>
      <c r="C155" s="2" t="s">
        <v>18</v>
      </c>
      <c r="D155" s="2">
        <v>24517609</v>
      </c>
      <c r="E155" s="19">
        <v>52</v>
      </c>
    </row>
    <row r="156" spans="1:5" x14ac:dyDescent="0.35">
      <c r="A156" s="23">
        <v>44189</v>
      </c>
      <c r="B156" s="2" t="s">
        <v>11</v>
      </c>
      <c r="C156" s="2" t="s">
        <v>12</v>
      </c>
      <c r="D156" s="2">
        <v>36227377</v>
      </c>
      <c r="E156" s="19">
        <v>52</v>
      </c>
    </row>
    <row r="157" spans="1:5" x14ac:dyDescent="0.35">
      <c r="A157" s="23">
        <v>44189</v>
      </c>
      <c r="B157" s="2" t="s">
        <v>19</v>
      </c>
      <c r="C157" s="2" t="s">
        <v>20</v>
      </c>
      <c r="D157" s="2">
        <v>36117097</v>
      </c>
      <c r="E157" s="19">
        <v>52</v>
      </c>
    </row>
    <row r="158" spans="1:5" x14ac:dyDescent="0.35">
      <c r="A158" s="23">
        <v>44189</v>
      </c>
      <c r="B158" s="2" t="s">
        <v>9</v>
      </c>
      <c r="C158" s="2" t="s">
        <v>10</v>
      </c>
      <c r="D158" s="2">
        <v>48011162</v>
      </c>
      <c r="E158" s="19">
        <v>52</v>
      </c>
    </row>
    <row r="159" spans="1:5" x14ac:dyDescent="0.35">
      <c r="A159" s="23">
        <v>44189</v>
      </c>
      <c r="B159" s="2" t="s">
        <v>13</v>
      </c>
      <c r="C159" s="2" t="s">
        <v>14</v>
      </c>
      <c r="D159" s="2">
        <v>37323134</v>
      </c>
      <c r="E159" s="19">
        <v>52</v>
      </c>
    </row>
    <row r="160" spans="1:5" x14ac:dyDescent="0.35">
      <c r="A160" s="23">
        <v>44189</v>
      </c>
      <c r="B160" s="2" t="s">
        <v>15</v>
      </c>
      <c r="C160" s="2" t="s">
        <v>16</v>
      </c>
      <c r="D160" s="2">
        <v>38503261</v>
      </c>
      <c r="E160" s="19">
        <v>52</v>
      </c>
    </row>
    <row r="161" spans="1:5" x14ac:dyDescent="0.35">
      <c r="A161" s="23">
        <v>44196</v>
      </c>
      <c r="B161" s="2" t="s">
        <v>6</v>
      </c>
      <c r="C161" s="2" t="s">
        <v>7</v>
      </c>
      <c r="D161" s="2">
        <v>23235257</v>
      </c>
      <c r="E161" s="19">
        <v>53</v>
      </c>
    </row>
    <row r="162" spans="1:5" x14ac:dyDescent="0.35">
      <c r="A162" s="23">
        <v>44196</v>
      </c>
      <c r="B162" s="2" t="s">
        <v>17</v>
      </c>
      <c r="C162" s="2" t="s">
        <v>18</v>
      </c>
      <c r="D162" s="2">
        <v>11664490</v>
      </c>
      <c r="E162" s="19">
        <v>53</v>
      </c>
    </row>
    <row r="163" spans="1:5" x14ac:dyDescent="0.35">
      <c r="A163" s="23">
        <v>44196</v>
      </c>
      <c r="B163" s="2" t="s">
        <v>11</v>
      </c>
      <c r="C163" s="2" t="s">
        <v>12</v>
      </c>
      <c r="D163" s="2">
        <v>15424001</v>
      </c>
      <c r="E163" s="19">
        <v>53</v>
      </c>
    </row>
    <row r="164" spans="1:5" x14ac:dyDescent="0.35">
      <c r="A164" s="23">
        <v>44196</v>
      </c>
      <c r="B164" s="2" t="s">
        <v>19</v>
      </c>
      <c r="C164" s="2" t="s">
        <v>20</v>
      </c>
      <c r="D164" s="2">
        <v>16527404</v>
      </c>
      <c r="E164" s="19">
        <v>53</v>
      </c>
    </row>
    <row r="165" spans="1:5" x14ac:dyDescent="0.35">
      <c r="A165" s="23">
        <v>44196</v>
      </c>
      <c r="B165" s="2" t="s">
        <v>9</v>
      </c>
      <c r="C165" s="2" t="s">
        <v>10</v>
      </c>
      <c r="D165" s="2">
        <v>20709328</v>
      </c>
      <c r="E165" s="19">
        <v>53</v>
      </c>
    </row>
    <row r="166" spans="1:5" x14ac:dyDescent="0.35">
      <c r="A166" s="23">
        <v>44196</v>
      </c>
      <c r="B166" s="2" t="s">
        <v>13</v>
      </c>
      <c r="C166" s="2" t="s">
        <v>14</v>
      </c>
      <c r="D166" s="2">
        <v>16613649</v>
      </c>
      <c r="E166" s="19">
        <v>53</v>
      </c>
    </row>
    <row r="167" spans="1:5" x14ac:dyDescent="0.35">
      <c r="A167" s="23">
        <v>44196</v>
      </c>
      <c r="B167" s="2" t="s">
        <v>15</v>
      </c>
      <c r="C167" s="2" t="s">
        <v>16</v>
      </c>
      <c r="D167" s="2">
        <v>16657592</v>
      </c>
      <c r="E167" s="19">
        <v>53</v>
      </c>
    </row>
    <row r="168" spans="1:5" x14ac:dyDescent="0.35">
      <c r="A168" s="23">
        <v>44511</v>
      </c>
      <c r="B168" s="2" t="s">
        <v>6</v>
      </c>
      <c r="C168" s="2" t="s">
        <v>7</v>
      </c>
      <c r="D168" s="2">
        <v>6622750</v>
      </c>
      <c r="E168" s="19">
        <v>45</v>
      </c>
    </row>
    <row r="169" spans="1:5" x14ac:dyDescent="0.35">
      <c r="A169" s="23">
        <v>44518</v>
      </c>
      <c r="B169" s="2" t="s">
        <v>6</v>
      </c>
      <c r="C169" s="2" t="s">
        <v>7</v>
      </c>
      <c r="D169" s="2">
        <v>8932970</v>
      </c>
      <c r="E169" s="19">
        <v>46</v>
      </c>
    </row>
    <row r="170" spans="1:5" x14ac:dyDescent="0.35">
      <c r="A170" s="23">
        <v>44518</v>
      </c>
      <c r="B170" s="2" t="s">
        <v>9</v>
      </c>
      <c r="C170" s="2" t="s">
        <v>10</v>
      </c>
      <c r="D170" s="2">
        <v>6197013</v>
      </c>
      <c r="E170" s="19">
        <v>46</v>
      </c>
    </row>
    <row r="171" spans="1:5" x14ac:dyDescent="0.35">
      <c r="A171" s="23">
        <v>44525</v>
      </c>
      <c r="B171" s="2" t="s">
        <v>6</v>
      </c>
      <c r="C171" s="2" t="s">
        <v>7</v>
      </c>
      <c r="D171" s="2">
        <v>13419806</v>
      </c>
      <c r="E171" s="19">
        <v>47</v>
      </c>
    </row>
    <row r="172" spans="1:5" x14ac:dyDescent="0.35">
      <c r="A172" s="23">
        <v>44525</v>
      </c>
      <c r="B172" s="2" t="s">
        <v>11</v>
      </c>
      <c r="C172" s="2" t="s">
        <v>12</v>
      </c>
      <c r="D172" s="2">
        <v>8230538</v>
      </c>
      <c r="E172" s="19">
        <v>47</v>
      </c>
    </row>
    <row r="173" spans="1:5" x14ac:dyDescent="0.35">
      <c r="A173" s="23">
        <v>44525</v>
      </c>
      <c r="B173" s="2" t="s">
        <v>19</v>
      </c>
      <c r="C173" s="2" t="s">
        <v>20</v>
      </c>
      <c r="D173" s="2">
        <v>7804649</v>
      </c>
      <c r="E173" s="19">
        <v>47</v>
      </c>
    </row>
    <row r="174" spans="1:5" x14ac:dyDescent="0.35">
      <c r="A174" s="23">
        <v>44525</v>
      </c>
      <c r="B174" s="2" t="s">
        <v>9</v>
      </c>
      <c r="C174" s="2" t="s">
        <v>10</v>
      </c>
      <c r="D174" s="2">
        <v>9852395</v>
      </c>
      <c r="E174" s="19">
        <v>47</v>
      </c>
    </row>
    <row r="175" spans="1:5" x14ac:dyDescent="0.35">
      <c r="A175" s="23">
        <v>44525</v>
      </c>
      <c r="B175" s="2" t="s">
        <v>13</v>
      </c>
      <c r="C175" s="2" t="s">
        <v>14</v>
      </c>
      <c r="D175" s="2">
        <v>7417614</v>
      </c>
      <c r="E175" s="19">
        <v>47</v>
      </c>
    </row>
    <row r="176" spans="1:5" x14ac:dyDescent="0.35">
      <c r="A176" s="23">
        <v>44525</v>
      </c>
      <c r="B176" s="2" t="s">
        <v>15</v>
      </c>
      <c r="C176" s="2" t="s">
        <v>16</v>
      </c>
      <c r="D176" s="2">
        <v>7168631</v>
      </c>
      <c r="E176" s="19">
        <v>47</v>
      </c>
    </row>
    <row r="177" spans="1:5" x14ac:dyDescent="0.35">
      <c r="A177" s="23">
        <v>44532</v>
      </c>
      <c r="B177" s="2" t="s">
        <v>6</v>
      </c>
      <c r="C177" s="2" t="s">
        <v>7</v>
      </c>
      <c r="D177" s="2">
        <v>24176108</v>
      </c>
      <c r="E177" s="19">
        <v>48</v>
      </c>
    </row>
    <row r="178" spans="1:5" x14ac:dyDescent="0.35">
      <c r="A178" s="23">
        <v>44532</v>
      </c>
      <c r="B178" s="2" t="s">
        <v>17</v>
      </c>
      <c r="C178" s="2" t="s">
        <v>18</v>
      </c>
      <c r="D178" s="2">
        <v>10073595</v>
      </c>
      <c r="E178" s="19">
        <v>48</v>
      </c>
    </row>
    <row r="179" spans="1:5" x14ac:dyDescent="0.35">
      <c r="A179" s="23">
        <v>44532</v>
      </c>
      <c r="B179" s="2" t="s">
        <v>11</v>
      </c>
      <c r="C179" s="2" t="s">
        <v>12</v>
      </c>
      <c r="D179" s="2">
        <v>15504798</v>
      </c>
      <c r="E179" s="19">
        <v>48</v>
      </c>
    </row>
    <row r="180" spans="1:5" x14ac:dyDescent="0.35">
      <c r="A180" s="23">
        <v>44532</v>
      </c>
      <c r="B180" s="2" t="s">
        <v>19</v>
      </c>
      <c r="C180" s="2" t="s">
        <v>20</v>
      </c>
      <c r="D180" s="2">
        <v>14983449</v>
      </c>
      <c r="E180" s="19">
        <v>48</v>
      </c>
    </row>
    <row r="181" spans="1:5" x14ac:dyDescent="0.35">
      <c r="A181" s="23">
        <v>44532</v>
      </c>
      <c r="B181" s="2" t="s">
        <v>9</v>
      </c>
      <c r="C181" s="2" t="s">
        <v>10</v>
      </c>
      <c r="D181" s="2">
        <v>19349663</v>
      </c>
      <c r="E181" s="19">
        <v>48</v>
      </c>
    </row>
    <row r="182" spans="1:5" x14ac:dyDescent="0.35">
      <c r="A182" s="23">
        <v>44532</v>
      </c>
      <c r="B182" s="2" t="s">
        <v>13</v>
      </c>
      <c r="C182" s="2" t="s">
        <v>14</v>
      </c>
      <c r="D182" s="2">
        <v>14460190</v>
      </c>
      <c r="E182" s="19">
        <v>48</v>
      </c>
    </row>
    <row r="183" spans="1:5" x14ac:dyDescent="0.35">
      <c r="A183" s="23">
        <v>44532</v>
      </c>
      <c r="B183" s="2" t="s">
        <v>15</v>
      </c>
      <c r="C183" s="2" t="s">
        <v>16</v>
      </c>
      <c r="D183" s="2">
        <v>13437236</v>
      </c>
      <c r="E183" s="19">
        <v>48</v>
      </c>
    </row>
    <row r="184" spans="1:5" x14ac:dyDescent="0.35">
      <c r="A184" s="23">
        <v>44539</v>
      </c>
      <c r="B184" s="2" t="s">
        <v>6</v>
      </c>
      <c r="C184" s="2" t="s">
        <v>7</v>
      </c>
      <c r="D184" s="2">
        <v>30344322</v>
      </c>
      <c r="E184" s="19">
        <v>49</v>
      </c>
    </row>
    <row r="185" spans="1:5" x14ac:dyDescent="0.35">
      <c r="A185" s="23">
        <v>44539</v>
      </c>
      <c r="B185" s="2" t="s">
        <v>17</v>
      </c>
      <c r="C185" s="2" t="s">
        <v>18</v>
      </c>
      <c r="D185" s="2">
        <v>13402203</v>
      </c>
      <c r="E185" s="19">
        <v>49</v>
      </c>
    </row>
    <row r="186" spans="1:5" x14ac:dyDescent="0.35">
      <c r="A186" s="23">
        <v>44539</v>
      </c>
      <c r="B186" s="2" t="s">
        <v>11</v>
      </c>
      <c r="C186" s="2" t="s">
        <v>12</v>
      </c>
      <c r="D186" s="2">
        <v>19902694</v>
      </c>
      <c r="E186" s="19">
        <v>49</v>
      </c>
    </row>
    <row r="187" spans="1:5" x14ac:dyDescent="0.35">
      <c r="A187" s="23">
        <v>44539</v>
      </c>
      <c r="B187" s="2" t="s">
        <v>19</v>
      </c>
      <c r="C187" s="2" t="s">
        <v>20</v>
      </c>
      <c r="D187" s="2">
        <v>19754610</v>
      </c>
      <c r="E187" s="19">
        <v>49</v>
      </c>
    </row>
    <row r="188" spans="1:5" x14ac:dyDescent="0.35">
      <c r="A188" s="23">
        <v>44539</v>
      </c>
      <c r="B188" s="2" t="s">
        <v>9</v>
      </c>
      <c r="C188" s="2" t="s">
        <v>10</v>
      </c>
      <c r="D188" s="2">
        <v>24943790</v>
      </c>
      <c r="E188" s="19">
        <v>49</v>
      </c>
    </row>
    <row r="189" spans="1:5" x14ac:dyDescent="0.35">
      <c r="A189" s="23">
        <v>44539</v>
      </c>
      <c r="B189" s="2" t="s">
        <v>13</v>
      </c>
      <c r="C189" s="2" t="s">
        <v>14</v>
      </c>
      <c r="D189" s="2">
        <v>19430205</v>
      </c>
      <c r="E189" s="19">
        <v>49</v>
      </c>
    </row>
    <row r="190" spans="1:5" x14ac:dyDescent="0.35">
      <c r="A190" s="23">
        <v>44539</v>
      </c>
      <c r="B190" s="2" t="s">
        <v>15</v>
      </c>
      <c r="C190" s="2" t="s">
        <v>16</v>
      </c>
      <c r="D190" s="2">
        <v>17670168</v>
      </c>
      <c r="E190" s="19">
        <v>49</v>
      </c>
    </row>
    <row r="191" spans="1:5" x14ac:dyDescent="0.35">
      <c r="A191" s="23">
        <v>44546</v>
      </c>
      <c r="B191" s="2" t="s">
        <v>6</v>
      </c>
      <c r="C191" s="2" t="s">
        <v>7</v>
      </c>
      <c r="D191" s="2">
        <v>32175593</v>
      </c>
      <c r="E191" s="19">
        <v>50</v>
      </c>
    </row>
    <row r="192" spans="1:5" x14ac:dyDescent="0.35">
      <c r="A192" s="23">
        <v>44546</v>
      </c>
      <c r="B192" s="2" t="s">
        <v>17</v>
      </c>
      <c r="C192" s="2" t="s">
        <v>18</v>
      </c>
      <c r="D192" s="2">
        <v>15099567</v>
      </c>
      <c r="E192" s="19">
        <v>50</v>
      </c>
    </row>
    <row r="193" spans="1:5" x14ac:dyDescent="0.35">
      <c r="A193" s="23">
        <v>44546</v>
      </c>
      <c r="B193" s="2" t="s">
        <v>11</v>
      </c>
      <c r="C193" s="2" t="s">
        <v>12</v>
      </c>
      <c r="D193" s="2">
        <v>21259884</v>
      </c>
      <c r="E193" s="19">
        <v>50</v>
      </c>
    </row>
    <row r="194" spans="1:5" x14ac:dyDescent="0.35">
      <c r="A194" s="23">
        <v>44546</v>
      </c>
      <c r="B194" s="2" t="s">
        <v>19</v>
      </c>
      <c r="C194" s="2" t="s">
        <v>20</v>
      </c>
      <c r="D194" s="2">
        <v>21479503</v>
      </c>
      <c r="E194" s="19">
        <v>50</v>
      </c>
    </row>
    <row r="195" spans="1:5" x14ac:dyDescent="0.35">
      <c r="A195" s="23">
        <v>44546</v>
      </c>
      <c r="B195" s="2" t="s">
        <v>9</v>
      </c>
      <c r="C195" s="2" t="s">
        <v>10</v>
      </c>
      <c r="D195" s="2">
        <v>27077848</v>
      </c>
      <c r="E195" s="19">
        <v>50</v>
      </c>
    </row>
    <row r="196" spans="1:5" x14ac:dyDescent="0.35">
      <c r="A196" s="23">
        <v>44546</v>
      </c>
      <c r="B196" s="2" t="s">
        <v>13</v>
      </c>
      <c r="C196" s="2" t="s">
        <v>14</v>
      </c>
      <c r="D196" s="2">
        <v>22095540</v>
      </c>
      <c r="E196" s="19">
        <v>50</v>
      </c>
    </row>
    <row r="197" spans="1:5" x14ac:dyDescent="0.35">
      <c r="A197" s="23">
        <v>44546</v>
      </c>
      <c r="B197" s="2" t="s">
        <v>15</v>
      </c>
      <c r="C197" s="2" t="s">
        <v>16</v>
      </c>
      <c r="D197" s="2">
        <v>19655526</v>
      </c>
      <c r="E197" s="19">
        <v>50</v>
      </c>
    </row>
    <row r="198" spans="1:5" x14ac:dyDescent="0.35">
      <c r="A198" s="23">
        <v>44553</v>
      </c>
      <c r="B198" s="2" t="s">
        <v>6</v>
      </c>
      <c r="C198" s="2" t="s">
        <v>7</v>
      </c>
      <c r="D198" s="2">
        <v>41518285</v>
      </c>
      <c r="E198" s="19">
        <v>51</v>
      </c>
    </row>
    <row r="199" spans="1:5" x14ac:dyDescent="0.35">
      <c r="A199" s="23">
        <v>44553</v>
      </c>
      <c r="B199" s="2" t="s">
        <v>17</v>
      </c>
      <c r="C199" s="2" t="s">
        <v>18</v>
      </c>
      <c r="D199" s="2">
        <v>20663443</v>
      </c>
      <c r="E199" s="19">
        <v>51</v>
      </c>
    </row>
    <row r="200" spans="1:5" x14ac:dyDescent="0.35">
      <c r="A200" s="23">
        <v>44553</v>
      </c>
      <c r="B200" s="2" t="s">
        <v>11</v>
      </c>
      <c r="C200" s="2" t="s">
        <v>12</v>
      </c>
      <c r="D200" s="2">
        <v>27551436</v>
      </c>
      <c r="E200" s="19">
        <v>51</v>
      </c>
    </row>
    <row r="201" spans="1:5" x14ac:dyDescent="0.35">
      <c r="A201" s="23">
        <v>44553</v>
      </c>
      <c r="B201" s="2" t="s">
        <v>19</v>
      </c>
      <c r="C201" s="2" t="s">
        <v>20</v>
      </c>
      <c r="D201" s="2">
        <v>28959509</v>
      </c>
      <c r="E201" s="19">
        <v>51</v>
      </c>
    </row>
    <row r="202" spans="1:5" x14ac:dyDescent="0.35">
      <c r="A202" s="23">
        <v>44553</v>
      </c>
      <c r="B202" s="2" t="s">
        <v>9</v>
      </c>
      <c r="C202" s="2" t="s">
        <v>10</v>
      </c>
      <c r="D202" s="2">
        <v>36107065</v>
      </c>
      <c r="E202" s="19">
        <v>51</v>
      </c>
    </row>
    <row r="203" spans="1:5" x14ac:dyDescent="0.35">
      <c r="A203" s="23">
        <v>44553</v>
      </c>
      <c r="B203" s="2" t="s">
        <v>13</v>
      </c>
      <c r="C203" s="2" t="s">
        <v>14</v>
      </c>
      <c r="D203" s="2">
        <v>30343074</v>
      </c>
      <c r="E203" s="19">
        <v>51</v>
      </c>
    </row>
    <row r="204" spans="1:5" x14ac:dyDescent="0.35">
      <c r="A204" s="23">
        <v>44553</v>
      </c>
      <c r="B204" s="2" t="s">
        <v>15</v>
      </c>
      <c r="C204" s="2" t="s">
        <v>16</v>
      </c>
      <c r="D204" s="2">
        <v>25964611</v>
      </c>
      <c r="E204" s="19">
        <v>51</v>
      </c>
    </row>
    <row r="205" spans="1:5" x14ac:dyDescent="0.35">
      <c r="A205" s="23">
        <v>44560</v>
      </c>
      <c r="B205" s="2" t="s">
        <v>6</v>
      </c>
      <c r="C205" s="2" t="s">
        <v>7</v>
      </c>
      <c r="D205" s="2">
        <v>38691349</v>
      </c>
      <c r="E205" s="19">
        <v>52</v>
      </c>
    </row>
    <row r="206" spans="1:5" x14ac:dyDescent="0.35">
      <c r="A206" s="23">
        <v>44560</v>
      </c>
      <c r="B206" s="2" t="s">
        <v>17</v>
      </c>
      <c r="C206" s="2" t="s">
        <v>18</v>
      </c>
      <c r="D206" s="2">
        <v>21021159</v>
      </c>
      <c r="E206" s="19">
        <v>52</v>
      </c>
    </row>
    <row r="207" spans="1:5" x14ac:dyDescent="0.35">
      <c r="A207" s="23">
        <v>44560</v>
      </c>
      <c r="B207" s="2" t="s">
        <v>11</v>
      </c>
      <c r="C207" s="2" t="s">
        <v>12</v>
      </c>
      <c r="D207" s="2">
        <v>25811527</v>
      </c>
      <c r="E207" s="19">
        <v>52</v>
      </c>
    </row>
    <row r="208" spans="1:5" x14ac:dyDescent="0.35">
      <c r="A208" s="23">
        <v>44560</v>
      </c>
      <c r="B208" s="2" t="s">
        <v>19</v>
      </c>
      <c r="C208" s="2" t="s">
        <v>20</v>
      </c>
      <c r="D208" s="2">
        <v>27275884</v>
      </c>
      <c r="E208" s="19">
        <v>52</v>
      </c>
    </row>
    <row r="209" spans="1:5" x14ac:dyDescent="0.35">
      <c r="A209" s="23">
        <v>44560</v>
      </c>
      <c r="B209" s="2" t="s">
        <v>9</v>
      </c>
      <c r="C209" s="2" t="s">
        <v>10</v>
      </c>
      <c r="D209" s="2">
        <v>33973886</v>
      </c>
      <c r="E209" s="19">
        <v>52</v>
      </c>
    </row>
    <row r="210" spans="1:5" x14ac:dyDescent="0.35">
      <c r="A210" s="23">
        <v>44560</v>
      </c>
      <c r="B210" s="2" t="s">
        <v>13</v>
      </c>
      <c r="C210" s="2" t="s">
        <v>14</v>
      </c>
      <c r="D210" s="2">
        <v>27687876</v>
      </c>
      <c r="E210" s="19">
        <v>52</v>
      </c>
    </row>
    <row r="211" spans="1:5" x14ac:dyDescent="0.35">
      <c r="A211" s="23">
        <v>44560</v>
      </c>
      <c r="B211" s="2" t="s">
        <v>15</v>
      </c>
      <c r="C211" s="2" t="s">
        <v>16</v>
      </c>
      <c r="D211" s="2">
        <v>23777493</v>
      </c>
      <c r="E211" s="19">
        <v>52</v>
      </c>
    </row>
    <row r="212" spans="1:5" x14ac:dyDescent="0.35">
      <c r="A212" s="23">
        <v>44875</v>
      </c>
      <c r="B212" s="2" t="s">
        <v>6</v>
      </c>
      <c r="C212" s="2" t="s">
        <v>7</v>
      </c>
      <c r="D212" s="2">
        <v>8569420</v>
      </c>
      <c r="E212" s="19">
        <v>45</v>
      </c>
    </row>
    <row r="213" spans="1:5" x14ac:dyDescent="0.35">
      <c r="A213" s="23">
        <v>44882</v>
      </c>
      <c r="B213" s="2" t="s">
        <v>6</v>
      </c>
      <c r="C213" s="2" t="s">
        <v>7</v>
      </c>
      <c r="D213" s="2">
        <v>12137477</v>
      </c>
      <c r="E213" s="19">
        <v>46</v>
      </c>
    </row>
    <row r="214" spans="1:5" x14ac:dyDescent="0.35">
      <c r="A214" s="23">
        <v>44882</v>
      </c>
      <c r="B214" s="2" t="s">
        <v>19</v>
      </c>
      <c r="C214" s="2" t="s">
        <v>20</v>
      </c>
      <c r="D214" s="2">
        <v>7084762</v>
      </c>
      <c r="E214" s="19">
        <v>46</v>
      </c>
    </row>
    <row r="215" spans="1:5" x14ac:dyDescent="0.35">
      <c r="A215" s="23">
        <v>44882</v>
      </c>
      <c r="B215" s="2" t="s">
        <v>9</v>
      </c>
      <c r="C215" s="2" t="s">
        <v>10</v>
      </c>
      <c r="D215" s="2">
        <v>8237725</v>
      </c>
      <c r="E215" s="19">
        <v>46</v>
      </c>
    </row>
    <row r="216" spans="1:5" x14ac:dyDescent="0.35">
      <c r="A216" s="23">
        <v>44882</v>
      </c>
      <c r="B216" s="2" t="s">
        <v>13</v>
      </c>
      <c r="C216" s="2" t="s">
        <v>14</v>
      </c>
      <c r="D216" s="2">
        <v>7517013</v>
      </c>
      <c r="E216" s="19">
        <v>46</v>
      </c>
    </row>
    <row r="217" spans="1:5" x14ac:dyDescent="0.35">
      <c r="A217" s="23">
        <v>44889</v>
      </c>
      <c r="B217" s="2" t="s">
        <v>6</v>
      </c>
      <c r="C217" s="2" t="s">
        <v>7</v>
      </c>
      <c r="D217" s="2">
        <v>18916682</v>
      </c>
      <c r="E217" s="19">
        <v>47</v>
      </c>
    </row>
    <row r="218" spans="1:5" x14ac:dyDescent="0.35">
      <c r="A218" s="23">
        <v>44889</v>
      </c>
      <c r="B218" s="2" t="s">
        <v>11</v>
      </c>
      <c r="C218" s="2" t="s">
        <v>12</v>
      </c>
      <c r="D218" s="2">
        <v>11312189</v>
      </c>
      <c r="E218" s="19">
        <v>47</v>
      </c>
    </row>
    <row r="219" spans="1:5" x14ac:dyDescent="0.35">
      <c r="A219" s="23">
        <v>44889</v>
      </c>
      <c r="B219" s="2" t="s">
        <v>19</v>
      </c>
      <c r="C219" s="2" t="s">
        <v>20</v>
      </c>
      <c r="D219" s="2">
        <v>11660973</v>
      </c>
      <c r="E219" s="19">
        <v>47</v>
      </c>
    </row>
    <row r="220" spans="1:5" x14ac:dyDescent="0.35">
      <c r="A220" s="23">
        <v>44889</v>
      </c>
      <c r="B220" s="2" t="s">
        <v>9</v>
      </c>
      <c r="C220" s="2" t="s">
        <v>10</v>
      </c>
      <c r="D220" s="2">
        <v>13983131</v>
      </c>
      <c r="E220" s="19">
        <v>47</v>
      </c>
    </row>
    <row r="221" spans="1:5" x14ac:dyDescent="0.35">
      <c r="A221" s="23">
        <v>44889</v>
      </c>
      <c r="B221" s="2" t="s">
        <v>13</v>
      </c>
      <c r="C221" s="2" t="s">
        <v>14</v>
      </c>
      <c r="D221" s="2">
        <v>12680089</v>
      </c>
      <c r="E221" s="19">
        <v>47</v>
      </c>
    </row>
    <row r="222" spans="1:5" x14ac:dyDescent="0.35">
      <c r="A222" s="23">
        <v>44889</v>
      </c>
      <c r="B222" s="2" t="s">
        <v>15</v>
      </c>
      <c r="C222" s="2" t="s">
        <v>16</v>
      </c>
      <c r="D222" s="2">
        <v>10280626</v>
      </c>
      <c r="E222" s="19">
        <v>47</v>
      </c>
    </row>
    <row r="223" spans="1:5" x14ac:dyDescent="0.35">
      <c r="A223" s="23">
        <v>44896</v>
      </c>
      <c r="B223" s="2" t="s">
        <v>6</v>
      </c>
      <c r="C223" s="2" t="s">
        <v>7</v>
      </c>
      <c r="D223" s="2">
        <v>27676347</v>
      </c>
      <c r="E223" s="19">
        <v>48</v>
      </c>
    </row>
    <row r="224" spans="1:5" x14ac:dyDescent="0.35">
      <c r="A224" s="23">
        <v>44896</v>
      </c>
      <c r="B224" s="2" t="s">
        <v>17</v>
      </c>
      <c r="C224" s="2" t="s">
        <v>18</v>
      </c>
      <c r="D224" s="2">
        <v>11596742</v>
      </c>
      <c r="E224" s="19">
        <v>48</v>
      </c>
    </row>
    <row r="225" spans="1:5" x14ac:dyDescent="0.35">
      <c r="A225" s="23">
        <v>44896</v>
      </c>
      <c r="B225" s="2" t="s">
        <v>11</v>
      </c>
      <c r="C225" s="2" t="s">
        <v>12</v>
      </c>
      <c r="D225" s="2">
        <v>18026042</v>
      </c>
      <c r="E225" s="19">
        <v>48</v>
      </c>
    </row>
    <row r="226" spans="1:5" x14ac:dyDescent="0.35">
      <c r="A226" s="23">
        <v>44896</v>
      </c>
      <c r="B226" s="2" t="s">
        <v>19</v>
      </c>
      <c r="C226" s="2" t="s">
        <v>20</v>
      </c>
      <c r="D226" s="2">
        <v>18954484</v>
      </c>
      <c r="E226" s="19">
        <v>48</v>
      </c>
    </row>
    <row r="227" spans="1:5" x14ac:dyDescent="0.35">
      <c r="A227" s="23">
        <v>44896</v>
      </c>
      <c r="B227" s="2" t="s">
        <v>9</v>
      </c>
      <c r="C227" s="2" t="s">
        <v>10</v>
      </c>
      <c r="D227" s="2">
        <v>22329568</v>
      </c>
      <c r="E227" s="19">
        <v>48</v>
      </c>
    </row>
    <row r="228" spans="1:5" x14ac:dyDescent="0.35">
      <c r="A228" s="23">
        <v>44896</v>
      </c>
      <c r="B228" s="2" t="s">
        <v>13</v>
      </c>
      <c r="C228" s="2" t="s">
        <v>14</v>
      </c>
      <c r="D228" s="2">
        <v>21093738</v>
      </c>
      <c r="E228" s="19">
        <v>48</v>
      </c>
    </row>
    <row r="229" spans="1:5" x14ac:dyDescent="0.35">
      <c r="A229" s="23">
        <v>44896</v>
      </c>
      <c r="B229" s="2" t="s">
        <v>15</v>
      </c>
      <c r="C229" s="2" t="s">
        <v>16</v>
      </c>
      <c r="D229" s="2">
        <v>15813791</v>
      </c>
      <c r="E229" s="19">
        <v>48</v>
      </c>
    </row>
    <row r="230" spans="1:5" x14ac:dyDescent="0.35">
      <c r="A230" s="23">
        <v>44903</v>
      </c>
      <c r="B230" s="2" t="s">
        <v>6</v>
      </c>
      <c r="C230" s="2" t="s">
        <v>7</v>
      </c>
      <c r="D230" s="2">
        <v>37016166</v>
      </c>
      <c r="E230" s="19">
        <v>49</v>
      </c>
    </row>
    <row r="231" spans="1:5" x14ac:dyDescent="0.35">
      <c r="A231" s="23">
        <v>44903</v>
      </c>
      <c r="B231" s="2" t="s">
        <v>17</v>
      </c>
      <c r="C231" s="2" t="s">
        <v>18</v>
      </c>
      <c r="D231" s="2">
        <v>16626089</v>
      </c>
      <c r="E231" s="19">
        <v>49</v>
      </c>
    </row>
    <row r="232" spans="1:5" x14ac:dyDescent="0.35">
      <c r="A232" s="23">
        <v>44903</v>
      </c>
      <c r="B232" s="2" t="s">
        <v>11</v>
      </c>
      <c r="C232" s="2" t="s">
        <v>12</v>
      </c>
      <c r="D232" s="2">
        <v>24301141</v>
      </c>
      <c r="E232" s="19">
        <v>49</v>
      </c>
    </row>
    <row r="233" spans="1:5" x14ac:dyDescent="0.35">
      <c r="A233" s="23">
        <v>44903</v>
      </c>
      <c r="B233" s="2" t="s">
        <v>19</v>
      </c>
      <c r="C233" s="2" t="s">
        <v>20</v>
      </c>
      <c r="D233" s="2">
        <v>24811088</v>
      </c>
      <c r="E233" s="19">
        <v>49</v>
      </c>
    </row>
    <row r="234" spans="1:5" x14ac:dyDescent="0.35">
      <c r="A234" s="23">
        <v>44903</v>
      </c>
      <c r="B234" s="2" t="s">
        <v>9</v>
      </c>
      <c r="C234" s="2" t="s">
        <v>10</v>
      </c>
      <c r="D234" s="2">
        <v>31520346</v>
      </c>
      <c r="E234" s="19">
        <v>49</v>
      </c>
    </row>
    <row r="235" spans="1:5" x14ac:dyDescent="0.35">
      <c r="A235" s="23">
        <v>44903</v>
      </c>
      <c r="B235" s="2" t="s">
        <v>13</v>
      </c>
      <c r="C235" s="2" t="s">
        <v>14</v>
      </c>
      <c r="D235" s="2">
        <v>28827742</v>
      </c>
      <c r="E235" s="19">
        <v>49</v>
      </c>
    </row>
    <row r="236" spans="1:5" x14ac:dyDescent="0.35">
      <c r="A236" s="23">
        <v>44903</v>
      </c>
      <c r="B236" s="2" t="s">
        <v>15</v>
      </c>
      <c r="C236" s="2" t="s">
        <v>16</v>
      </c>
      <c r="D236" s="2">
        <v>21920746</v>
      </c>
      <c r="E236" s="19">
        <v>49</v>
      </c>
    </row>
    <row r="237" spans="1:5" x14ac:dyDescent="0.35">
      <c r="A237" s="23">
        <v>44910</v>
      </c>
      <c r="B237" s="2" t="s">
        <v>6</v>
      </c>
      <c r="C237" s="2" t="s">
        <v>7</v>
      </c>
      <c r="D237" s="2">
        <v>41921397</v>
      </c>
      <c r="E237" s="19">
        <v>50</v>
      </c>
    </row>
    <row r="238" spans="1:5" x14ac:dyDescent="0.35">
      <c r="A238" s="23">
        <v>44910</v>
      </c>
      <c r="B238" s="2" t="s">
        <v>17</v>
      </c>
      <c r="C238" s="2" t="s">
        <v>18</v>
      </c>
      <c r="D238" s="2">
        <v>20281372</v>
      </c>
      <c r="E238" s="19">
        <v>50</v>
      </c>
    </row>
    <row r="239" spans="1:5" x14ac:dyDescent="0.35">
      <c r="A239" s="23">
        <v>44910</v>
      </c>
      <c r="B239" s="2" t="s">
        <v>11</v>
      </c>
      <c r="C239" s="2" t="s">
        <v>12</v>
      </c>
      <c r="D239" s="2">
        <v>27389287</v>
      </c>
      <c r="E239" s="19">
        <v>50</v>
      </c>
    </row>
    <row r="240" spans="1:5" x14ac:dyDescent="0.35">
      <c r="A240" s="23">
        <v>44910</v>
      </c>
      <c r="B240" s="2" t="s">
        <v>19</v>
      </c>
      <c r="C240" s="2" t="s">
        <v>20</v>
      </c>
      <c r="D240" s="2">
        <v>29842872</v>
      </c>
      <c r="E240" s="19">
        <v>50</v>
      </c>
    </row>
    <row r="241" spans="1:5" x14ac:dyDescent="0.35">
      <c r="A241" s="23">
        <v>44910</v>
      </c>
      <c r="B241" s="2" t="s">
        <v>9</v>
      </c>
      <c r="C241" s="2" t="s">
        <v>10</v>
      </c>
      <c r="D241" s="2">
        <v>36598697</v>
      </c>
      <c r="E241" s="19">
        <v>50</v>
      </c>
    </row>
    <row r="242" spans="1:5" x14ac:dyDescent="0.35">
      <c r="A242" s="23">
        <v>44910</v>
      </c>
      <c r="B242" s="2" t="s">
        <v>13</v>
      </c>
      <c r="C242" s="2" t="s">
        <v>14</v>
      </c>
      <c r="D242" s="2">
        <v>34725307</v>
      </c>
      <c r="E242" s="19">
        <v>50</v>
      </c>
    </row>
    <row r="243" spans="1:5" x14ac:dyDescent="0.35">
      <c r="A243" s="23">
        <v>44910</v>
      </c>
      <c r="B243" s="2" t="s">
        <v>15</v>
      </c>
      <c r="C243" s="2" t="s">
        <v>16</v>
      </c>
      <c r="D243" s="2">
        <v>24641305</v>
      </c>
      <c r="E243" s="19">
        <v>50</v>
      </c>
    </row>
    <row r="244" spans="1:5" x14ac:dyDescent="0.35">
      <c r="A244" s="23">
        <v>44917</v>
      </c>
      <c r="B244" s="2" t="s">
        <v>6</v>
      </c>
      <c r="C244" s="2" t="s">
        <v>7</v>
      </c>
      <c r="D244" s="2">
        <v>48156836</v>
      </c>
      <c r="E244" s="19">
        <v>51</v>
      </c>
    </row>
    <row r="245" spans="1:5" x14ac:dyDescent="0.35">
      <c r="A245" s="23">
        <v>44917</v>
      </c>
      <c r="B245" s="2" t="s">
        <v>17</v>
      </c>
      <c r="C245" s="2" t="s">
        <v>18</v>
      </c>
      <c r="D245" s="2">
        <v>25449827</v>
      </c>
      <c r="E245" s="19">
        <v>51</v>
      </c>
    </row>
    <row r="246" spans="1:5" x14ac:dyDescent="0.35">
      <c r="A246" s="23">
        <v>44917</v>
      </c>
      <c r="B246" s="2" t="s">
        <v>11</v>
      </c>
      <c r="C246" s="2" t="s">
        <v>12</v>
      </c>
      <c r="D246" s="2">
        <v>31885806</v>
      </c>
      <c r="E246" s="19">
        <v>51</v>
      </c>
    </row>
    <row r="247" spans="1:5" x14ac:dyDescent="0.35">
      <c r="A247" s="23">
        <v>44917</v>
      </c>
      <c r="B247" s="2" t="s">
        <v>19</v>
      </c>
      <c r="C247" s="2" t="s">
        <v>20</v>
      </c>
      <c r="D247" s="2">
        <v>35707249</v>
      </c>
      <c r="E247" s="19">
        <v>51</v>
      </c>
    </row>
    <row r="248" spans="1:5" x14ac:dyDescent="0.35">
      <c r="A248" s="23">
        <v>44917</v>
      </c>
      <c r="B248" s="2" t="s">
        <v>9</v>
      </c>
      <c r="C248" s="2" t="s">
        <v>10</v>
      </c>
      <c r="D248" s="2">
        <v>43177189</v>
      </c>
      <c r="E248" s="19">
        <v>51</v>
      </c>
    </row>
    <row r="249" spans="1:5" x14ac:dyDescent="0.35">
      <c r="A249" s="23">
        <v>44917</v>
      </c>
      <c r="B249" s="2" t="s">
        <v>13</v>
      </c>
      <c r="C249" s="2" t="s">
        <v>14</v>
      </c>
      <c r="D249" s="2">
        <v>40917945</v>
      </c>
      <c r="E249" s="19">
        <v>51</v>
      </c>
    </row>
    <row r="250" spans="1:5" x14ac:dyDescent="0.35">
      <c r="A250" s="23">
        <v>44917</v>
      </c>
      <c r="B250" s="2" t="s">
        <v>15</v>
      </c>
      <c r="C250" s="2" t="s">
        <v>16</v>
      </c>
      <c r="D250" s="2">
        <v>28754864</v>
      </c>
      <c r="E250" s="19">
        <v>51</v>
      </c>
    </row>
    <row r="251" spans="1:5" x14ac:dyDescent="0.35">
      <c r="A251" s="23">
        <v>44924</v>
      </c>
      <c r="B251" s="2" t="s">
        <v>6</v>
      </c>
      <c r="C251" s="2" t="s">
        <v>7</v>
      </c>
      <c r="D251" s="2">
        <v>57651756</v>
      </c>
      <c r="E251" s="19">
        <v>52</v>
      </c>
    </row>
    <row r="252" spans="1:5" x14ac:dyDescent="0.35">
      <c r="A252" s="23">
        <v>44924</v>
      </c>
      <c r="B252" s="2" t="s">
        <v>17</v>
      </c>
      <c r="C252" s="2" t="s">
        <v>18</v>
      </c>
      <c r="D252" s="2">
        <v>34335283</v>
      </c>
      <c r="E252" s="19">
        <v>52</v>
      </c>
    </row>
    <row r="253" spans="1:5" x14ac:dyDescent="0.35">
      <c r="A253" s="23">
        <v>44924</v>
      </c>
      <c r="B253" s="2" t="s">
        <v>11</v>
      </c>
      <c r="C253" s="2" t="s">
        <v>12</v>
      </c>
      <c r="D253" s="2">
        <v>39394212</v>
      </c>
      <c r="E253" s="19">
        <v>52</v>
      </c>
    </row>
    <row r="254" spans="1:5" x14ac:dyDescent="0.35">
      <c r="A254" s="23">
        <v>44924</v>
      </c>
      <c r="B254" s="2" t="s">
        <v>19</v>
      </c>
      <c r="C254" s="2" t="s">
        <v>20</v>
      </c>
      <c r="D254" s="2">
        <v>44144398</v>
      </c>
      <c r="E254" s="19">
        <v>52</v>
      </c>
    </row>
    <row r="255" spans="1:5" x14ac:dyDescent="0.35">
      <c r="A255" s="23">
        <v>44924</v>
      </c>
      <c r="B255" s="2" t="s">
        <v>9</v>
      </c>
      <c r="C255" s="2" t="s">
        <v>10</v>
      </c>
      <c r="D255" s="2">
        <v>52683220</v>
      </c>
      <c r="E255" s="19">
        <v>52</v>
      </c>
    </row>
    <row r="256" spans="1:5" x14ac:dyDescent="0.35">
      <c r="A256" s="23">
        <v>44924</v>
      </c>
      <c r="B256" s="2" t="s">
        <v>13</v>
      </c>
      <c r="C256" s="2" t="s">
        <v>14</v>
      </c>
      <c r="D256" s="2">
        <v>48147082</v>
      </c>
      <c r="E256" s="19">
        <v>52</v>
      </c>
    </row>
    <row r="257" spans="1:5" x14ac:dyDescent="0.35">
      <c r="A257" s="23">
        <v>44924</v>
      </c>
      <c r="B257" s="2" t="s">
        <v>15</v>
      </c>
      <c r="C257" s="2" t="s">
        <v>16</v>
      </c>
      <c r="D257" s="2">
        <v>34113273</v>
      </c>
      <c r="E257" s="19">
        <v>52</v>
      </c>
    </row>
    <row r="258" spans="1:5" x14ac:dyDescent="0.35">
      <c r="A258" s="23">
        <v>45239</v>
      </c>
      <c r="B258" s="2" t="s">
        <v>6</v>
      </c>
      <c r="C258" s="2" t="s">
        <v>7</v>
      </c>
      <c r="D258" s="2">
        <v>11713143</v>
      </c>
      <c r="E258" s="19">
        <v>45</v>
      </c>
    </row>
    <row r="259" spans="1:5" x14ac:dyDescent="0.35">
      <c r="A259" s="23">
        <v>45239</v>
      </c>
      <c r="B259" s="2" t="s">
        <v>9</v>
      </c>
      <c r="C259" s="2" t="s">
        <v>10</v>
      </c>
      <c r="D259" s="2">
        <v>9447986</v>
      </c>
      <c r="E259" s="19">
        <v>45</v>
      </c>
    </row>
    <row r="260" spans="1:5" x14ac:dyDescent="0.35">
      <c r="A260" s="23">
        <v>45246</v>
      </c>
      <c r="B260" s="2" t="s">
        <v>6</v>
      </c>
      <c r="C260" s="2" t="s">
        <v>7</v>
      </c>
      <c r="D260" s="2">
        <v>14923197</v>
      </c>
      <c r="E260" s="19">
        <v>46</v>
      </c>
    </row>
    <row r="261" spans="1:5" x14ac:dyDescent="0.35">
      <c r="A261" s="23">
        <v>45246</v>
      </c>
      <c r="B261" s="2" t="s">
        <v>19</v>
      </c>
      <c r="C261" s="2" t="s">
        <v>20</v>
      </c>
      <c r="D261" s="2">
        <v>8609753</v>
      </c>
      <c r="E261" s="19">
        <v>46</v>
      </c>
    </row>
    <row r="262" spans="1:5" x14ac:dyDescent="0.35">
      <c r="A262" s="23">
        <v>45246</v>
      </c>
      <c r="B262" s="2" t="s">
        <v>9</v>
      </c>
      <c r="C262" s="2" t="s">
        <v>10</v>
      </c>
      <c r="D262" s="2">
        <v>13109310</v>
      </c>
      <c r="E262" s="19">
        <v>46</v>
      </c>
    </row>
    <row r="263" spans="1:5" x14ac:dyDescent="0.35">
      <c r="A263" s="23">
        <v>45246</v>
      </c>
      <c r="B263" s="2" t="s">
        <v>13</v>
      </c>
      <c r="C263" s="2" t="s">
        <v>14</v>
      </c>
      <c r="D263" s="2">
        <v>8472546</v>
      </c>
      <c r="E263" s="19">
        <v>46</v>
      </c>
    </row>
    <row r="264" spans="1:5" x14ac:dyDescent="0.35">
      <c r="A264" s="23">
        <v>45246</v>
      </c>
      <c r="B264" s="2" t="s">
        <v>15</v>
      </c>
      <c r="C264" s="2" t="s">
        <v>16</v>
      </c>
      <c r="D264" s="2">
        <v>8185135</v>
      </c>
      <c r="E264" s="19">
        <v>46</v>
      </c>
    </row>
    <row r="265" spans="1:5" x14ac:dyDescent="0.35">
      <c r="A265" s="23">
        <v>45253</v>
      </c>
      <c r="B265" s="2" t="s">
        <v>6</v>
      </c>
      <c r="C265" s="2" t="s">
        <v>7</v>
      </c>
      <c r="D265" s="2">
        <v>21632325</v>
      </c>
      <c r="E265" s="19">
        <v>47</v>
      </c>
    </row>
    <row r="266" spans="1:5" x14ac:dyDescent="0.35">
      <c r="A266" s="23">
        <v>45253</v>
      </c>
      <c r="B266" s="2" t="s">
        <v>11</v>
      </c>
      <c r="C266" s="2" t="s">
        <v>12</v>
      </c>
      <c r="D266" s="2">
        <v>10757784</v>
      </c>
      <c r="E266" s="19">
        <v>47</v>
      </c>
    </row>
    <row r="267" spans="1:5" x14ac:dyDescent="0.35">
      <c r="A267" s="23">
        <v>45253</v>
      </c>
      <c r="B267" s="2" t="s">
        <v>19</v>
      </c>
      <c r="C267" s="2" t="s">
        <v>20</v>
      </c>
      <c r="D267" s="2">
        <v>13175644</v>
      </c>
      <c r="E267" s="19">
        <v>47</v>
      </c>
    </row>
    <row r="268" spans="1:5" x14ac:dyDescent="0.35">
      <c r="A268" s="23">
        <v>45253</v>
      </c>
      <c r="B268" s="2" t="s">
        <v>9</v>
      </c>
      <c r="C268" s="2" t="s">
        <v>10</v>
      </c>
      <c r="D268" s="2">
        <v>19385469</v>
      </c>
      <c r="E268" s="19">
        <v>47</v>
      </c>
    </row>
    <row r="269" spans="1:5" x14ac:dyDescent="0.35">
      <c r="A269" s="23">
        <v>45253</v>
      </c>
      <c r="B269" s="2" t="s">
        <v>13</v>
      </c>
      <c r="C269" s="2" t="s">
        <v>14</v>
      </c>
      <c r="D269" s="2">
        <v>15066957</v>
      </c>
      <c r="E269" s="19">
        <v>47</v>
      </c>
    </row>
    <row r="270" spans="1:5" x14ac:dyDescent="0.35">
      <c r="A270" s="23">
        <v>45253</v>
      </c>
      <c r="B270" s="2" t="s">
        <v>15</v>
      </c>
      <c r="C270" s="2" t="s">
        <v>16</v>
      </c>
      <c r="D270" s="2">
        <v>11469200</v>
      </c>
      <c r="E270" s="19">
        <v>47</v>
      </c>
    </row>
    <row r="271" spans="1:5" x14ac:dyDescent="0.35">
      <c r="A271" s="23">
        <v>45260</v>
      </c>
      <c r="B271" s="2" t="s">
        <v>6</v>
      </c>
      <c r="C271" s="2" t="s">
        <v>7</v>
      </c>
      <c r="D271" s="2">
        <v>33728604</v>
      </c>
      <c r="E271" s="19">
        <v>48</v>
      </c>
    </row>
    <row r="272" spans="1:5" x14ac:dyDescent="0.35">
      <c r="A272" s="23">
        <v>45260</v>
      </c>
      <c r="B272" s="2" t="s">
        <v>17</v>
      </c>
      <c r="C272" s="2" t="s">
        <v>18</v>
      </c>
      <c r="D272" s="2">
        <v>12517113</v>
      </c>
      <c r="E272" s="19">
        <v>48</v>
      </c>
    </row>
    <row r="273" spans="1:5" x14ac:dyDescent="0.35">
      <c r="A273" s="23">
        <v>45260</v>
      </c>
      <c r="B273" s="2" t="s">
        <v>11</v>
      </c>
      <c r="C273" s="2" t="s">
        <v>12</v>
      </c>
      <c r="D273" s="2">
        <v>18224117</v>
      </c>
      <c r="E273" s="19">
        <v>48</v>
      </c>
    </row>
    <row r="274" spans="1:5" x14ac:dyDescent="0.35">
      <c r="A274" s="23">
        <v>45260</v>
      </c>
      <c r="B274" s="2" t="s">
        <v>19</v>
      </c>
      <c r="C274" s="2" t="s">
        <v>20</v>
      </c>
      <c r="D274" s="2">
        <v>22186368</v>
      </c>
      <c r="E274" s="19">
        <v>48</v>
      </c>
    </row>
    <row r="275" spans="1:5" x14ac:dyDescent="0.35">
      <c r="A275" s="23">
        <v>45260</v>
      </c>
      <c r="B275" s="2" t="s">
        <v>9</v>
      </c>
      <c r="C275" s="2" t="s">
        <v>10</v>
      </c>
      <c r="D275" s="2">
        <v>30556258</v>
      </c>
      <c r="E275" s="19">
        <v>48</v>
      </c>
    </row>
    <row r="276" spans="1:5" x14ac:dyDescent="0.35">
      <c r="A276" s="23">
        <v>45260</v>
      </c>
      <c r="B276" s="2" t="s">
        <v>13</v>
      </c>
      <c r="C276" s="2" t="s">
        <v>14</v>
      </c>
      <c r="D276" s="2">
        <v>26940388</v>
      </c>
      <c r="E276" s="19">
        <v>48</v>
      </c>
    </row>
    <row r="277" spans="1:5" x14ac:dyDescent="0.35">
      <c r="A277" s="23">
        <v>45260</v>
      </c>
      <c r="B277" s="2" t="s">
        <v>15</v>
      </c>
      <c r="C277" s="2" t="s">
        <v>16</v>
      </c>
      <c r="D277" s="2">
        <v>18610534</v>
      </c>
      <c r="E277" s="19">
        <v>48</v>
      </c>
    </row>
    <row r="278" spans="1:5" x14ac:dyDescent="0.35">
      <c r="A278" s="23">
        <v>45267</v>
      </c>
      <c r="B278" s="2" t="s">
        <v>6</v>
      </c>
      <c r="C278" s="2" t="s">
        <v>7</v>
      </c>
      <c r="D278" s="2">
        <v>48242745</v>
      </c>
      <c r="E278" s="19">
        <v>49</v>
      </c>
    </row>
    <row r="279" spans="1:5" x14ac:dyDescent="0.35">
      <c r="A279" s="23">
        <v>45267</v>
      </c>
      <c r="B279" s="2" t="s">
        <v>17</v>
      </c>
      <c r="C279" s="2" t="s">
        <v>18</v>
      </c>
      <c r="D279" s="2">
        <v>20317400</v>
      </c>
      <c r="E279" s="19">
        <v>49</v>
      </c>
    </row>
    <row r="280" spans="1:5" x14ac:dyDescent="0.35">
      <c r="A280" s="23">
        <v>45267</v>
      </c>
      <c r="B280" s="2" t="s">
        <v>11</v>
      </c>
      <c r="C280" s="2" t="s">
        <v>12</v>
      </c>
      <c r="D280" s="2">
        <v>27899303</v>
      </c>
      <c r="E280" s="19">
        <v>49</v>
      </c>
    </row>
    <row r="281" spans="1:5" x14ac:dyDescent="0.35">
      <c r="A281" s="23">
        <v>45267</v>
      </c>
      <c r="B281" s="2" t="s">
        <v>19</v>
      </c>
      <c r="C281" s="2" t="s">
        <v>20</v>
      </c>
      <c r="D281" s="2">
        <v>33402002</v>
      </c>
      <c r="E281" s="19">
        <v>49</v>
      </c>
    </row>
    <row r="282" spans="1:5" x14ac:dyDescent="0.35">
      <c r="A282" s="23">
        <v>45267</v>
      </c>
      <c r="B282" s="2" t="s">
        <v>9</v>
      </c>
      <c r="C282" s="2" t="s">
        <v>10</v>
      </c>
      <c r="D282" s="2">
        <v>44176139</v>
      </c>
      <c r="E282" s="19">
        <v>49</v>
      </c>
    </row>
    <row r="283" spans="1:5" x14ac:dyDescent="0.35">
      <c r="A283" s="23">
        <v>45267</v>
      </c>
      <c r="B283" s="2" t="s">
        <v>13</v>
      </c>
      <c r="C283" s="2" t="s">
        <v>14</v>
      </c>
      <c r="D283" s="2">
        <v>38756976</v>
      </c>
      <c r="E283" s="19">
        <v>49</v>
      </c>
    </row>
    <row r="284" spans="1:5" x14ac:dyDescent="0.35">
      <c r="A284" s="23">
        <v>45267</v>
      </c>
      <c r="B284" s="2" t="s">
        <v>15</v>
      </c>
      <c r="C284" s="2" t="s">
        <v>16</v>
      </c>
      <c r="D284" s="2">
        <v>29089107</v>
      </c>
      <c r="E284" s="19">
        <v>49</v>
      </c>
    </row>
    <row r="285" spans="1:5" x14ac:dyDescent="0.35">
      <c r="A285" s="23">
        <v>45274</v>
      </c>
      <c r="B285" s="2" t="s">
        <v>6</v>
      </c>
      <c r="C285" s="2" t="s">
        <v>7</v>
      </c>
      <c r="D285" s="2">
        <v>47232471</v>
      </c>
      <c r="E285" s="19">
        <v>50</v>
      </c>
    </row>
    <row r="286" spans="1:5" x14ac:dyDescent="0.35">
      <c r="A286" s="23">
        <v>45274</v>
      </c>
      <c r="B286" s="2" t="s">
        <v>17</v>
      </c>
      <c r="C286" s="2" t="s">
        <v>18</v>
      </c>
      <c r="D286" s="2">
        <v>20852799</v>
      </c>
      <c r="E286" s="19">
        <v>50</v>
      </c>
    </row>
    <row r="287" spans="1:5" x14ac:dyDescent="0.35">
      <c r="A287" s="23">
        <v>45274</v>
      </c>
      <c r="B287" s="2" t="s">
        <v>11</v>
      </c>
      <c r="C287" s="2" t="s">
        <v>12</v>
      </c>
      <c r="D287" s="2">
        <v>27973507</v>
      </c>
      <c r="E287" s="19">
        <v>50</v>
      </c>
    </row>
    <row r="288" spans="1:5" x14ac:dyDescent="0.35">
      <c r="A288" s="23">
        <v>45274</v>
      </c>
      <c r="B288" s="2" t="s">
        <v>19</v>
      </c>
      <c r="C288" s="2" t="s">
        <v>20</v>
      </c>
      <c r="D288" s="2">
        <v>30951467</v>
      </c>
      <c r="E288" s="19">
        <v>50</v>
      </c>
    </row>
    <row r="289" spans="1:5" x14ac:dyDescent="0.35">
      <c r="A289" s="23">
        <v>45274</v>
      </c>
      <c r="B289" s="2" t="s">
        <v>9</v>
      </c>
      <c r="C289" s="2" t="s">
        <v>10</v>
      </c>
      <c r="D289" s="2">
        <v>43334690</v>
      </c>
      <c r="E289" s="19">
        <v>50</v>
      </c>
    </row>
    <row r="290" spans="1:5" x14ac:dyDescent="0.35">
      <c r="A290" s="23">
        <v>45274</v>
      </c>
      <c r="B290" s="2" t="s">
        <v>13</v>
      </c>
      <c r="C290" s="2" t="s">
        <v>14</v>
      </c>
      <c r="D290" s="2">
        <v>37617587</v>
      </c>
      <c r="E290" s="19">
        <v>50</v>
      </c>
    </row>
    <row r="291" spans="1:5" x14ac:dyDescent="0.35">
      <c r="A291" s="23">
        <v>45274</v>
      </c>
      <c r="B291" s="2" t="s">
        <v>15</v>
      </c>
      <c r="C291" s="2" t="s">
        <v>16</v>
      </c>
      <c r="D291" s="2">
        <v>29109961</v>
      </c>
      <c r="E291" s="19">
        <v>50</v>
      </c>
    </row>
    <row r="292" spans="1:5" x14ac:dyDescent="0.35">
      <c r="A292" s="23">
        <v>45281</v>
      </c>
      <c r="B292" s="2" t="s">
        <v>6</v>
      </c>
      <c r="C292" s="2" t="s">
        <v>7</v>
      </c>
      <c r="D292" s="2">
        <v>53338897</v>
      </c>
      <c r="E292" s="19">
        <v>51</v>
      </c>
    </row>
    <row r="293" spans="1:5" x14ac:dyDescent="0.35">
      <c r="A293" s="23">
        <v>45281</v>
      </c>
      <c r="B293" s="2" t="s">
        <v>17</v>
      </c>
      <c r="C293" s="2" t="s">
        <v>18</v>
      </c>
      <c r="D293" s="2">
        <v>24768891</v>
      </c>
      <c r="E293" s="19">
        <v>51</v>
      </c>
    </row>
    <row r="294" spans="1:5" x14ac:dyDescent="0.35">
      <c r="A294" s="23">
        <v>45281</v>
      </c>
      <c r="B294" s="2" t="s">
        <v>11</v>
      </c>
      <c r="C294" s="2" t="s">
        <v>12</v>
      </c>
      <c r="D294" s="2">
        <v>31456354</v>
      </c>
      <c r="E294" s="19">
        <v>51</v>
      </c>
    </row>
    <row r="295" spans="1:5" x14ac:dyDescent="0.35">
      <c r="A295" s="23">
        <v>45281</v>
      </c>
      <c r="B295" s="2" t="s">
        <v>19</v>
      </c>
      <c r="C295" s="2" t="s">
        <v>20</v>
      </c>
      <c r="D295" s="2">
        <v>35098833</v>
      </c>
      <c r="E295" s="19">
        <v>51</v>
      </c>
    </row>
    <row r="296" spans="1:5" x14ac:dyDescent="0.35">
      <c r="A296" s="23">
        <v>45281</v>
      </c>
      <c r="B296" s="2" t="s">
        <v>9</v>
      </c>
      <c r="C296" s="2" t="s">
        <v>10</v>
      </c>
      <c r="D296" s="2">
        <v>49239617</v>
      </c>
      <c r="E296" s="19">
        <v>51</v>
      </c>
    </row>
    <row r="297" spans="1:5" x14ac:dyDescent="0.35">
      <c r="A297" s="23">
        <v>45281</v>
      </c>
      <c r="B297" s="2" t="s">
        <v>13</v>
      </c>
      <c r="C297" s="2" t="s">
        <v>14</v>
      </c>
      <c r="D297" s="2">
        <v>44792976</v>
      </c>
      <c r="E297" s="19">
        <v>51</v>
      </c>
    </row>
    <row r="298" spans="1:5" x14ac:dyDescent="0.35">
      <c r="A298" s="23">
        <v>45281</v>
      </c>
      <c r="B298" s="2" t="s">
        <v>15</v>
      </c>
      <c r="C298" s="2" t="s">
        <v>16</v>
      </c>
      <c r="D298" s="2">
        <v>33816577</v>
      </c>
      <c r="E298" s="19">
        <v>51</v>
      </c>
    </row>
    <row r="299" spans="1:5" x14ac:dyDescent="0.35">
      <c r="A299" s="23">
        <v>45288</v>
      </c>
      <c r="B299" s="2" t="s">
        <v>6</v>
      </c>
      <c r="C299" s="2" t="s">
        <v>7</v>
      </c>
      <c r="D299" s="2">
        <v>75826005</v>
      </c>
      <c r="E299" s="19">
        <v>52</v>
      </c>
    </row>
    <row r="300" spans="1:5" x14ac:dyDescent="0.35">
      <c r="A300" s="23">
        <v>45288</v>
      </c>
      <c r="B300" s="2" t="s">
        <v>17</v>
      </c>
      <c r="C300" s="2" t="s">
        <v>18</v>
      </c>
      <c r="D300" s="2">
        <v>39496130</v>
      </c>
      <c r="E300" s="19">
        <v>52</v>
      </c>
    </row>
    <row r="301" spans="1:5" x14ac:dyDescent="0.35">
      <c r="A301" s="23">
        <v>45288</v>
      </c>
      <c r="B301" s="2" t="s">
        <v>11</v>
      </c>
      <c r="C301" s="2" t="s">
        <v>12</v>
      </c>
      <c r="D301" s="2">
        <v>44884310</v>
      </c>
      <c r="E301" s="19">
        <v>52</v>
      </c>
    </row>
    <row r="302" spans="1:5" x14ac:dyDescent="0.35">
      <c r="A302" s="23">
        <v>45288</v>
      </c>
      <c r="B302" s="2" t="s">
        <v>19</v>
      </c>
      <c r="C302" s="2" t="s">
        <v>20</v>
      </c>
      <c r="D302" s="2">
        <v>51705845</v>
      </c>
      <c r="E302" s="19">
        <v>52</v>
      </c>
    </row>
    <row r="303" spans="1:5" x14ac:dyDescent="0.35">
      <c r="A303" s="23">
        <v>45288</v>
      </c>
      <c r="B303" s="2" t="s">
        <v>9</v>
      </c>
      <c r="C303" s="2" t="s">
        <v>10</v>
      </c>
      <c r="D303" s="2">
        <v>71138282</v>
      </c>
      <c r="E303" s="19">
        <v>52</v>
      </c>
    </row>
    <row r="304" spans="1:5" x14ac:dyDescent="0.35">
      <c r="A304" s="23">
        <v>45288</v>
      </c>
      <c r="B304" s="2" t="s">
        <v>13</v>
      </c>
      <c r="C304" s="2" t="s">
        <v>14</v>
      </c>
      <c r="D304" s="2">
        <v>62796483</v>
      </c>
      <c r="E304" s="19">
        <v>52</v>
      </c>
    </row>
    <row r="305" spans="1:5" x14ac:dyDescent="0.35">
      <c r="A305" s="23">
        <v>45288</v>
      </c>
      <c r="B305" s="2" t="s">
        <v>15</v>
      </c>
      <c r="C305" s="2" t="s">
        <v>16</v>
      </c>
      <c r="D305" s="2">
        <v>48192239</v>
      </c>
      <c r="E305" s="19">
        <v>52</v>
      </c>
    </row>
    <row r="306" spans="1:5" x14ac:dyDescent="0.35">
      <c r="A306" s="23">
        <v>45295</v>
      </c>
      <c r="B306" s="2" t="s">
        <v>9</v>
      </c>
      <c r="C306" s="2" t="s">
        <v>10</v>
      </c>
      <c r="D306" s="2">
        <v>7914063</v>
      </c>
      <c r="E306" s="19">
        <v>54</v>
      </c>
    </row>
    <row r="307" spans="1:5" x14ac:dyDescent="0.35">
      <c r="A307" s="23">
        <v>45603</v>
      </c>
      <c r="B307" s="2" t="s">
        <v>6</v>
      </c>
      <c r="C307" s="2" t="s">
        <v>7</v>
      </c>
      <c r="D307" s="2">
        <v>11279139</v>
      </c>
      <c r="E307" s="19">
        <v>45</v>
      </c>
    </row>
    <row r="308" spans="1:5" x14ac:dyDescent="0.35">
      <c r="A308" s="23">
        <v>45603</v>
      </c>
      <c r="B308" s="2" t="s">
        <v>9</v>
      </c>
      <c r="C308" s="2" t="s">
        <v>10</v>
      </c>
      <c r="D308" s="2">
        <v>9923635</v>
      </c>
      <c r="E308" s="19">
        <v>45</v>
      </c>
    </row>
    <row r="309" spans="1:5" x14ac:dyDescent="0.35">
      <c r="A309" s="23">
        <v>45610</v>
      </c>
      <c r="B309" s="2" t="s">
        <v>6</v>
      </c>
      <c r="C309" s="2" t="s">
        <v>7</v>
      </c>
      <c r="D309" s="2">
        <v>14796703</v>
      </c>
      <c r="E309" s="19">
        <v>46</v>
      </c>
    </row>
    <row r="310" spans="1:5" x14ac:dyDescent="0.35">
      <c r="A310" s="23">
        <v>45610</v>
      </c>
      <c r="B310" s="2" t="s">
        <v>19</v>
      </c>
      <c r="C310" s="2" t="s">
        <v>20</v>
      </c>
      <c r="D310" s="2">
        <v>8712411</v>
      </c>
      <c r="E310" s="19">
        <v>46</v>
      </c>
    </row>
    <row r="311" spans="1:5" x14ac:dyDescent="0.35">
      <c r="A311" s="23">
        <v>45610</v>
      </c>
      <c r="B311" s="2" t="s">
        <v>9</v>
      </c>
      <c r="C311" s="2" t="s">
        <v>10</v>
      </c>
      <c r="D311" s="2">
        <v>13711333</v>
      </c>
      <c r="E311" s="19">
        <v>46</v>
      </c>
    </row>
    <row r="312" spans="1:5" x14ac:dyDescent="0.35">
      <c r="A312" s="23">
        <v>45610</v>
      </c>
      <c r="B312" s="2" t="s">
        <v>13</v>
      </c>
      <c r="C312" s="2" t="s">
        <v>14</v>
      </c>
      <c r="D312" s="2">
        <v>9561847</v>
      </c>
      <c r="E312" s="19">
        <v>46</v>
      </c>
    </row>
    <row r="313" spans="1:5" x14ac:dyDescent="0.35">
      <c r="A313" s="23">
        <v>45610</v>
      </c>
      <c r="B313" s="2" t="s">
        <v>15</v>
      </c>
      <c r="C313" s="2" t="s">
        <v>16</v>
      </c>
      <c r="D313" s="2">
        <v>8672931</v>
      </c>
      <c r="E313" s="19">
        <v>46</v>
      </c>
    </row>
    <row r="314" spans="1:5" x14ac:dyDescent="0.35">
      <c r="A314" s="23">
        <v>45617</v>
      </c>
      <c r="B314" s="2" t="s">
        <v>6</v>
      </c>
      <c r="C314" s="2" t="s">
        <v>7</v>
      </c>
      <c r="D314" s="2">
        <v>21363813</v>
      </c>
      <c r="E314" s="19">
        <v>47</v>
      </c>
    </row>
    <row r="315" spans="1:5" x14ac:dyDescent="0.35">
      <c r="A315" s="23">
        <v>45617</v>
      </c>
      <c r="B315" s="2" t="s">
        <v>11</v>
      </c>
      <c r="C315" s="2" t="s">
        <v>12</v>
      </c>
      <c r="D315" s="2">
        <v>9941240</v>
      </c>
      <c r="E315" s="19">
        <v>47</v>
      </c>
    </row>
    <row r="316" spans="1:5" x14ac:dyDescent="0.35">
      <c r="A316" s="23">
        <v>45617</v>
      </c>
      <c r="B316" s="2" t="s">
        <v>19</v>
      </c>
      <c r="C316" s="2" t="s">
        <v>20</v>
      </c>
      <c r="D316" s="2">
        <v>13038832</v>
      </c>
      <c r="E316" s="19">
        <v>47</v>
      </c>
    </row>
    <row r="317" spans="1:5" x14ac:dyDescent="0.35">
      <c r="A317" s="23">
        <v>45617</v>
      </c>
      <c r="B317" s="2" t="s">
        <v>9</v>
      </c>
      <c r="C317" s="2" t="s">
        <v>10</v>
      </c>
      <c r="D317" s="2">
        <v>19555376</v>
      </c>
      <c r="E317" s="19">
        <v>47</v>
      </c>
    </row>
    <row r="318" spans="1:5" x14ac:dyDescent="0.35">
      <c r="A318" s="23">
        <v>45617</v>
      </c>
      <c r="B318" s="2" t="s">
        <v>13</v>
      </c>
      <c r="C318" s="2" t="s">
        <v>14</v>
      </c>
      <c r="D318" s="2">
        <v>14591689</v>
      </c>
      <c r="E318" s="19">
        <v>47</v>
      </c>
    </row>
    <row r="319" spans="1:5" x14ac:dyDescent="0.35">
      <c r="A319" s="23">
        <v>45617</v>
      </c>
      <c r="B319" s="2" t="s">
        <v>15</v>
      </c>
      <c r="C319" s="2" t="s">
        <v>16</v>
      </c>
      <c r="D319" s="2">
        <v>12932270</v>
      </c>
      <c r="E319" s="19">
        <v>47</v>
      </c>
    </row>
    <row r="320" spans="1:5" x14ac:dyDescent="0.35">
      <c r="A320" s="23">
        <v>45624</v>
      </c>
      <c r="B320" s="2" t="s">
        <v>6</v>
      </c>
      <c r="C320" s="2" t="s">
        <v>7</v>
      </c>
      <c r="D320" s="2">
        <v>28988715</v>
      </c>
      <c r="E320" s="19">
        <v>48</v>
      </c>
    </row>
    <row r="321" spans="1:5" x14ac:dyDescent="0.35">
      <c r="A321" s="23">
        <v>45624</v>
      </c>
      <c r="B321" s="2" t="s">
        <v>17</v>
      </c>
      <c r="C321" s="2" t="s">
        <v>18</v>
      </c>
      <c r="D321" s="2">
        <v>11302691</v>
      </c>
      <c r="E321" s="19">
        <v>48</v>
      </c>
    </row>
    <row r="322" spans="1:5" x14ac:dyDescent="0.35">
      <c r="A322" s="23">
        <v>45624</v>
      </c>
      <c r="B322" s="2" t="s">
        <v>11</v>
      </c>
      <c r="C322" s="2" t="s">
        <v>12</v>
      </c>
      <c r="D322" s="2">
        <v>14210678</v>
      </c>
      <c r="E322" s="19">
        <v>48</v>
      </c>
    </row>
    <row r="323" spans="1:5" x14ac:dyDescent="0.35">
      <c r="A323" s="23">
        <v>45624</v>
      </c>
      <c r="B323" s="2" t="s">
        <v>19</v>
      </c>
      <c r="C323" s="2" t="s">
        <v>20</v>
      </c>
      <c r="D323" s="2">
        <v>18729517</v>
      </c>
      <c r="E323" s="19">
        <v>48</v>
      </c>
    </row>
    <row r="324" spans="1:5" x14ac:dyDescent="0.35">
      <c r="A324" s="23">
        <v>45624</v>
      </c>
      <c r="B324" s="2" t="s">
        <v>9</v>
      </c>
      <c r="C324" s="2" t="s">
        <v>10</v>
      </c>
      <c r="D324" s="2">
        <v>26812906</v>
      </c>
      <c r="E324" s="19">
        <v>48</v>
      </c>
    </row>
    <row r="325" spans="1:5" x14ac:dyDescent="0.35">
      <c r="A325" s="23">
        <v>45624</v>
      </c>
      <c r="B325" s="2" t="s">
        <v>13</v>
      </c>
      <c r="C325" s="2" t="s">
        <v>14</v>
      </c>
      <c r="D325" s="2">
        <v>21568493</v>
      </c>
      <c r="E325" s="19">
        <v>48</v>
      </c>
    </row>
    <row r="326" spans="1:5" x14ac:dyDescent="0.35">
      <c r="A326" s="23">
        <v>45624</v>
      </c>
      <c r="B326" s="2" t="s">
        <v>15</v>
      </c>
      <c r="C326" s="2" t="s">
        <v>16</v>
      </c>
      <c r="D326" s="2">
        <v>18147498</v>
      </c>
      <c r="E326" s="19">
        <v>48</v>
      </c>
    </row>
    <row r="327" spans="1:5" x14ac:dyDescent="0.35">
      <c r="A327" s="23">
        <v>45631</v>
      </c>
      <c r="B327" s="2" t="s">
        <v>6</v>
      </c>
      <c r="C327" s="2" t="s">
        <v>7</v>
      </c>
      <c r="D327" s="2">
        <v>44056478</v>
      </c>
      <c r="E327" s="19">
        <v>49</v>
      </c>
    </row>
    <row r="328" spans="1:5" x14ac:dyDescent="0.35">
      <c r="A328" s="23">
        <v>45631</v>
      </c>
      <c r="B328" s="2" t="s">
        <v>17</v>
      </c>
      <c r="C328" s="2" t="s">
        <v>18</v>
      </c>
      <c r="D328" s="2">
        <v>19452273</v>
      </c>
      <c r="E328" s="19">
        <v>49</v>
      </c>
    </row>
    <row r="329" spans="1:5" x14ac:dyDescent="0.35">
      <c r="A329" s="23">
        <v>45631</v>
      </c>
      <c r="B329" s="2" t="s">
        <v>11</v>
      </c>
      <c r="C329" s="2" t="s">
        <v>12</v>
      </c>
      <c r="D329" s="2">
        <v>22538475</v>
      </c>
      <c r="E329" s="19">
        <v>49</v>
      </c>
    </row>
    <row r="330" spans="1:5" x14ac:dyDescent="0.35">
      <c r="A330" s="23">
        <v>45631</v>
      </c>
      <c r="B330" s="2" t="s">
        <v>19</v>
      </c>
      <c r="C330" s="2" t="s">
        <v>20</v>
      </c>
      <c r="D330" s="2">
        <v>30821472</v>
      </c>
      <c r="E330" s="19">
        <v>49</v>
      </c>
    </row>
    <row r="331" spans="1:5" x14ac:dyDescent="0.35">
      <c r="A331" s="23">
        <v>45631</v>
      </c>
      <c r="B331" s="2" t="s">
        <v>9</v>
      </c>
      <c r="C331" s="2" t="s">
        <v>10</v>
      </c>
      <c r="D331" s="2">
        <v>43542785</v>
      </c>
      <c r="E331" s="19">
        <v>49</v>
      </c>
    </row>
    <row r="332" spans="1:5" x14ac:dyDescent="0.35">
      <c r="A332" s="23">
        <v>45631</v>
      </c>
      <c r="B332" s="2" t="s">
        <v>13</v>
      </c>
      <c r="C332" s="2" t="s">
        <v>14</v>
      </c>
      <c r="D332" s="2">
        <v>36240442</v>
      </c>
      <c r="E332" s="19">
        <v>49</v>
      </c>
    </row>
    <row r="333" spans="1:5" x14ac:dyDescent="0.35">
      <c r="A333" s="23">
        <v>45631</v>
      </c>
      <c r="B333" s="2" t="s">
        <v>15</v>
      </c>
      <c r="C333" s="2" t="s">
        <v>16</v>
      </c>
      <c r="D333" s="2">
        <v>28953248</v>
      </c>
      <c r="E333" s="19">
        <v>49</v>
      </c>
    </row>
    <row r="334" spans="1:5" x14ac:dyDescent="0.35">
      <c r="A334" s="23">
        <v>45638</v>
      </c>
      <c r="B334" s="2" t="s">
        <v>6</v>
      </c>
      <c r="C334" s="2" t="s">
        <v>7</v>
      </c>
      <c r="D334" s="2">
        <v>47514211</v>
      </c>
      <c r="E334" s="19">
        <v>50</v>
      </c>
    </row>
    <row r="335" spans="1:5" x14ac:dyDescent="0.35">
      <c r="A335" s="23">
        <v>45638</v>
      </c>
      <c r="B335" s="2" t="s">
        <v>17</v>
      </c>
      <c r="C335" s="2" t="s">
        <v>18</v>
      </c>
      <c r="D335" s="2">
        <v>21780383</v>
      </c>
      <c r="E335" s="19">
        <v>50</v>
      </c>
    </row>
    <row r="336" spans="1:5" x14ac:dyDescent="0.35">
      <c r="A336" s="23">
        <v>45638</v>
      </c>
      <c r="B336" s="2" t="s">
        <v>11</v>
      </c>
      <c r="C336" s="2" t="s">
        <v>12</v>
      </c>
      <c r="D336" s="2">
        <v>24073016</v>
      </c>
      <c r="E336" s="19">
        <v>50</v>
      </c>
    </row>
    <row r="337" spans="1:5" x14ac:dyDescent="0.35">
      <c r="A337" s="23">
        <v>45638</v>
      </c>
      <c r="B337" s="2" t="s">
        <v>19</v>
      </c>
      <c r="C337" s="2" t="s">
        <v>20</v>
      </c>
      <c r="D337" s="2">
        <v>36801037</v>
      </c>
      <c r="E337" s="19">
        <v>50</v>
      </c>
    </row>
    <row r="338" spans="1:5" x14ac:dyDescent="0.35">
      <c r="A338" s="23">
        <v>45638</v>
      </c>
      <c r="B338" s="2" t="s">
        <v>9</v>
      </c>
      <c r="C338" s="2" t="s">
        <v>10</v>
      </c>
      <c r="D338" s="2">
        <v>46992149</v>
      </c>
      <c r="E338" s="19">
        <v>50</v>
      </c>
    </row>
    <row r="339" spans="1:5" x14ac:dyDescent="0.35">
      <c r="A339" s="23">
        <v>45638</v>
      </c>
      <c r="B339" s="2" t="s">
        <v>13</v>
      </c>
      <c r="C339" s="2" t="s">
        <v>14</v>
      </c>
      <c r="D339" s="2">
        <v>40460504</v>
      </c>
      <c r="E339" s="19">
        <v>50</v>
      </c>
    </row>
    <row r="340" spans="1:5" x14ac:dyDescent="0.35">
      <c r="A340" s="23">
        <v>45638</v>
      </c>
      <c r="B340" s="2" t="s">
        <v>15</v>
      </c>
      <c r="C340" s="2" t="s">
        <v>16</v>
      </c>
      <c r="D340" s="2">
        <v>31559275</v>
      </c>
      <c r="E340" s="19">
        <v>50</v>
      </c>
    </row>
    <row r="341" spans="1:5" x14ac:dyDescent="0.35">
      <c r="A341" s="23">
        <v>45645</v>
      </c>
      <c r="B341" s="2" t="s">
        <v>6</v>
      </c>
      <c r="C341" s="2" t="s">
        <v>7</v>
      </c>
      <c r="D341" s="2">
        <v>51621732</v>
      </c>
      <c r="E341" s="19">
        <v>51</v>
      </c>
    </row>
    <row r="342" spans="1:5" x14ac:dyDescent="0.35">
      <c r="A342" s="23">
        <v>45645</v>
      </c>
      <c r="B342" s="2" t="s">
        <v>17</v>
      </c>
      <c r="C342" s="2" t="s">
        <v>18</v>
      </c>
      <c r="D342" s="2">
        <v>25708186</v>
      </c>
      <c r="E342" s="19">
        <v>51</v>
      </c>
    </row>
    <row r="343" spans="1:5" x14ac:dyDescent="0.35">
      <c r="A343" s="23">
        <v>45645</v>
      </c>
      <c r="B343" s="2" t="s">
        <v>11</v>
      </c>
      <c r="C343" s="2" t="s">
        <v>12</v>
      </c>
      <c r="D343" s="2">
        <v>26548915</v>
      </c>
      <c r="E343" s="19">
        <v>51</v>
      </c>
    </row>
    <row r="344" spans="1:5" x14ac:dyDescent="0.35">
      <c r="A344" s="23">
        <v>45645</v>
      </c>
      <c r="B344" s="2" t="s">
        <v>19</v>
      </c>
      <c r="C344" s="2" t="s">
        <v>20</v>
      </c>
      <c r="D344" s="2">
        <v>41055176</v>
      </c>
      <c r="E344" s="19">
        <v>51</v>
      </c>
    </row>
    <row r="345" spans="1:5" x14ac:dyDescent="0.35">
      <c r="A345" s="23">
        <v>45645</v>
      </c>
      <c r="B345" s="2" t="s">
        <v>9</v>
      </c>
      <c r="C345" s="2" t="s">
        <v>10</v>
      </c>
      <c r="D345" s="2">
        <v>50554131</v>
      </c>
      <c r="E345" s="19">
        <v>51</v>
      </c>
    </row>
    <row r="346" spans="1:5" x14ac:dyDescent="0.35">
      <c r="A346" s="23">
        <v>45645</v>
      </c>
      <c r="B346" s="2" t="s">
        <v>13</v>
      </c>
      <c r="C346" s="2" t="s">
        <v>14</v>
      </c>
      <c r="D346" s="2">
        <v>44823735</v>
      </c>
      <c r="E346" s="19">
        <v>51</v>
      </c>
    </row>
    <row r="347" spans="1:5" x14ac:dyDescent="0.35">
      <c r="A347" s="23">
        <v>45645</v>
      </c>
      <c r="B347" s="2" t="s">
        <v>15</v>
      </c>
      <c r="C347" s="2" t="s">
        <v>16</v>
      </c>
      <c r="D347" s="2">
        <v>34645959</v>
      </c>
      <c r="E347" s="19">
        <v>51</v>
      </c>
    </row>
    <row r="348" spans="1:5" x14ac:dyDescent="0.35">
      <c r="A348" s="23">
        <v>45652</v>
      </c>
      <c r="B348" s="2" t="s">
        <v>6</v>
      </c>
      <c r="C348" s="2" t="s">
        <v>7</v>
      </c>
      <c r="D348" s="2">
        <v>92506541</v>
      </c>
      <c r="E348" s="19">
        <v>52</v>
      </c>
    </row>
    <row r="349" spans="1:5" x14ac:dyDescent="0.35">
      <c r="A349" s="23">
        <v>45652</v>
      </c>
      <c r="B349" s="2" t="s">
        <v>17</v>
      </c>
      <c r="C349" s="2" t="s">
        <v>18</v>
      </c>
      <c r="D349" s="2">
        <v>48740674</v>
      </c>
      <c r="E349" s="19">
        <v>52</v>
      </c>
    </row>
    <row r="350" spans="1:5" x14ac:dyDescent="0.35">
      <c r="A350" s="23">
        <v>45652</v>
      </c>
      <c r="B350" s="2" t="s">
        <v>11</v>
      </c>
      <c r="C350" s="2" t="s">
        <v>12</v>
      </c>
      <c r="D350" s="2">
        <v>47360169</v>
      </c>
      <c r="E350" s="19">
        <v>52</v>
      </c>
    </row>
    <row r="351" spans="1:5" x14ac:dyDescent="0.35">
      <c r="A351" s="23">
        <v>45652</v>
      </c>
      <c r="B351" s="2" t="s">
        <v>19</v>
      </c>
      <c r="C351" s="2" t="s">
        <v>20</v>
      </c>
      <c r="D351" s="2">
        <v>72625966</v>
      </c>
      <c r="E351" s="19">
        <v>52</v>
      </c>
    </row>
    <row r="352" spans="1:5" x14ac:dyDescent="0.35">
      <c r="A352" s="23">
        <v>45652</v>
      </c>
      <c r="B352" s="2" t="s">
        <v>9</v>
      </c>
      <c r="C352" s="2" t="s">
        <v>10</v>
      </c>
      <c r="D352" s="2">
        <v>91090914</v>
      </c>
      <c r="E352" s="19">
        <v>52</v>
      </c>
    </row>
    <row r="353" spans="1:5" x14ac:dyDescent="0.35">
      <c r="A353" s="23">
        <v>45652</v>
      </c>
      <c r="B353" s="2" t="s">
        <v>13</v>
      </c>
      <c r="C353" s="2" t="s">
        <v>14</v>
      </c>
      <c r="D353" s="2">
        <v>82406485</v>
      </c>
      <c r="E353" s="19">
        <v>52</v>
      </c>
    </row>
    <row r="354" spans="1:5" x14ac:dyDescent="0.35">
      <c r="A354" s="23">
        <v>45652</v>
      </c>
      <c r="B354" s="2" t="s">
        <v>15</v>
      </c>
      <c r="C354" s="2" t="s">
        <v>16</v>
      </c>
      <c r="D354" s="2">
        <v>60264421</v>
      </c>
      <c r="E354" s="19">
        <v>52</v>
      </c>
    </row>
    <row r="355" spans="1:5" x14ac:dyDescent="0.35">
      <c r="A355" s="23">
        <v>45659</v>
      </c>
      <c r="B355" s="2" t="s">
        <v>6</v>
      </c>
      <c r="C355" s="2" t="s">
        <v>7</v>
      </c>
      <c r="D355" s="2">
        <v>11199904</v>
      </c>
      <c r="E355" s="19">
        <v>54</v>
      </c>
    </row>
    <row r="356" spans="1:5" x14ac:dyDescent="0.35">
      <c r="A356" s="23">
        <v>45659</v>
      </c>
      <c r="B356" s="2" t="s">
        <v>9</v>
      </c>
      <c r="C356" s="2" t="s">
        <v>10</v>
      </c>
      <c r="D356" s="2">
        <v>11565422</v>
      </c>
      <c r="E356" s="19">
        <v>54</v>
      </c>
    </row>
    <row r="357" spans="1:5" x14ac:dyDescent="0.35">
      <c r="A357" s="23">
        <v>45659</v>
      </c>
      <c r="B357" s="2" t="s">
        <v>13</v>
      </c>
      <c r="C357" s="2" t="s">
        <v>14</v>
      </c>
      <c r="D357" s="2">
        <v>8533518</v>
      </c>
      <c r="E357" s="19">
        <v>54</v>
      </c>
    </row>
    <row r="358" spans="1:5" x14ac:dyDescent="0.35">
      <c r="A358" s="23">
        <v>45967</v>
      </c>
      <c r="B358" s="2" t="s">
        <v>6</v>
      </c>
      <c r="C358" s="2" t="s">
        <v>7</v>
      </c>
      <c r="D358" s="2">
        <v>10679069</v>
      </c>
      <c r="E358" s="19">
        <v>45</v>
      </c>
    </row>
    <row r="359" spans="1:5" x14ac:dyDescent="0.35">
      <c r="A359" s="23">
        <v>45967</v>
      </c>
      <c r="B359" s="2" t="s">
        <v>9</v>
      </c>
      <c r="C359" s="2" t="s">
        <v>10</v>
      </c>
      <c r="D359" s="2">
        <v>8776792</v>
      </c>
      <c r="E359" s="19">
        <v>45</v>
      </c>
    </row>
    <row r="360" spans="1:5" x14ac:dyDescent="0.35">
      <c r="A360" s="23">
        <v>45974</v>
      </c>
      <c r="B360" s="2" t="s">
        <v>6</v>
      </c>
      <c r="C360" s="2" t="s">
        <v>7</v>
      </c>
      <c r="D360" s="2">
        <v>14176619</v>
      </c>
      <c r="E360" s="19">
        <v>46</v>
      </c>
    </row>
    <row r="361" spans="1:5" x14ac:dyDescent="0.35">
      <c r="A361" s="23">
        <v>45974</v>
      </c>
      <c r="B361" s="2" t="s">
        <v>19</v>
      </c>
      <c r="C361" s="2" t="s">
        <v>20</v>
      </c>
      <c r="D361" s="2">
        <v>8905332</v>
      </c>
      <c r="E361" s="19">
        <v>46</v>
      </c>
    </row>
    <row r="362" spans="1:5" x14ac:dyDescent="0.35">
      <c r="A362" s="23">
        <v>45974</v>
      </c>
      <c r="B362" s="2" t="s">
        <v>9</v>
      </c>
      <c r="C362" s="2" t="s">
        <v>10</v>
      </c>
      <c r="D362" s="2">
        <v>12541769</v>
      </c>
      <c r="E362" s="19">
        <v>46</v>
      </c>
    </row>
    <row r="363" spans="1:5" x14ac:dyDescent="0.35">
      <c r="A363" s="23">
        <v>45974</v>
      </c>
      <c r="B363" s="2" t="s">
        <v>13</v>
      </c>
      <c r="C363" s="2" t="s">
        <v>14</v>
      </c>
      <c r="D363" s="2">
        <v>9897609</v>
      </c>
      <c r="E363" s="19">
        <v>46</v>
      </c>
    </row>
    <row r="364" spans="1:5" x14ac:dyDescent="0.35">
      <c r="A364" s="23">
        <v>45974</v>
      </c>
      <c r="B364" s="2" t="s">
        <v>15</v>
      </c>
      <c r="C364" s="2" t="s">
        <v>16</v>
      </c>
      <c r="D364" s="2">
        <v>9083220</v>
      </c>
      <c r="E364" s="19">
        <v>46</v>
      </c>
    </row>
    <row r="365" spans="1:5" x14ac:dyDescent="0.35">
      <c r="A365" s="23">
        <v>45981</v>
      </c>
      <c r="B365" s="2" t="s">
        <v>6</v>
      </c>
      <c r="C365" s="2" t="s">
        <v>7</v>
      </c>
      <c r="D365" s="2">
        <v>17855568</v>
      </c>
      <c r="E365" s="19">
        <v>47</v>
      </c>
    </row>
    <row r="366" spans="1:5" x14ac:dyDescent="0.35">
      <c r="A366" s="23">
        <v>45981</v>
      </c>
      <c r="B366" s="2" t="s">
        <v>11</v>
      </c>
      <c r="C366" s="2" t="s">
        <v>12</v>
      </c>
      <c r="D366" s="2">
        <v>9133205</v>
      </c>
      <c r="E366" s="19">
        <v>47</v>
      </c>
    </row>
    <row r="367" spans="1:5" x14ac:dyDescent="0.35">
      <c r="A367" s="23">
        <v>45981</v>
      </c>
      <c r="B367" s="2" t="s">
        <v>19</v>
      </c>
      <c r="C367" s="2" t="s">
        <v>20</v>
      </c>
      <c r="D367" s="2">
        <v>12045395</v>
      </c>
      <c r="E367" s="19">
        <v>47</v>
      </c>
    </row>
    <row r="368" spans="1:5" x14ac:dyDescent="0.35">
      <c r="A368" s="23">
        <v>45981</v>
      </c>
      <c r="B368" s="2" t="s">
        <v>9</v>
      </c>
      <c r="C368" s="2" t="s">
        <v>10</v>
      </c>
      <c r="D368" s="2">
        <v>16382300</v>
      </c>
      <c r="E368" s="19">
        <v>47</v>
      </c>
    </row>
    <row r="369" spans="1:5" x14ac:dyDescent="0.35">
      <c r="A369" s="23">
        <v>45981</v>
      </c>
      <c r="B369" s="2" t="s">
        <v>13</v>
      </c>
      <c r="C369" s="2" t="s">
        <v>14</v>
      </c>
      <c r="D369" s="2">
        <v>12912321</v>
      </c>
      <c r="E369" s="19">
        <v>47</v>
      </c>
    </row>
    <row r="370" spans="1:5" x14ac:dyDescent="0.35">
      <c r="A370" s="23">
        <v>45981</v>
      </c>
      <c r="B370" s="2" t="s">
        <v>15</v>
      </c>
      <c r="C370" s="2" t="s">
        <v>16</v>
      </c>
      <c r="D370" s="2">
        <v>11651103</v>
      </c>
      <c r="E370" s="19">
        <v>47</v>
      </c>
    </row>
    <row r="371" spans="1:5" x14ac:dyDescent="0.35">
      <c r="A371" s="23">
        <v>45988</v>
      </c>
      <c r="B371" s="2" t="s">
        <v>6</v>
      </c>
      <c r="C371" s="2" t="s">
        <v>7</v>
      </c>
      <c r="D371" s="2">
        <v>25566111</v>
      </c>
      <c r="E371" s="19">
        <v>48</v>
      </c>
    </row>
    <row r="372" spans="1:5" x14ac:dyDescent="0.35">
      <c r="A372" s="23">
        <v>45988</v>
      </c>
      <c r="B372" s="2" t="s">
        <v>17</v>
      </c>
      <c r="C372" s="2" t="s">
        <v>18</v>
      </c>
      <c r="D372" s="2">
        <v>9869378</v>
      </c>
      <c r="E372" s="19">
        <v>48</v>
      </c>
    </row>
    <row r="373" spans="1:5" x14ac:dyDescent="0.35">
      <c r="A373" s="23">
        <v>45988</v>
      </c>
      <c r="B373" s="2" t="s">
        <v>11</v>
      </c>
      <c r="C373" s="2" t="s">
        <v>12</v>
      </c>
      <c r="D373" s="2">
        <v>13273043</v>
      </c>
      <c r="E373" s="19">
        <v>48</v>
      </c>
    </row>
    <row r="374" spans="1:5" x14ac:dyDescent="0.35">
      <c r="A374" s="23">
        <v>45988</v>
      </c>
      <c r="B374" s="2" t="s">
        <v>19</v>
      </c>
      <c r="C374" s="2" t="s">
        <v>20</v>
      </c>
      <c r="D374" s="2">
        <v>17216703</v>
      </c>
      <c r="E374" s="19">
        <v>48</v>
      </c>
    </row>
    <row r="375" spans="1:5" x14ac:dyDescent="0.35">
      <c r="A375" s="23">
        <v>45988</v>
      </c>
      <c r="B375" s="2" t="s">
        <v>9</v>
      </c>
      <c r="C375" s="2" t="s">
        <v>10</v>
      </c>
      <c r="D375" s="2">
        <v>23091279</v>
      </c>
      <c r="E375" s="19">
        <v>48</v>
      </c>
    </row>
    <row r="376" spans="1:5" x14ac:dyDescent="0.35">
      <c r="A376" s="23">
        <v>45988</v>
      </c>
      <c r="B376" s="2" t="s">
        <v>13</v>
      </c>
      <c r="C376" s="2" t="s">
        <v>14</v>
      </c>
      <c r="D376" s="2">
        <v>19251893</v>
      </c>
      <c r="E376" s="19">
        <v>48</v>
      </c>
    </row>
    <row r="377" spans="1:5" x14ac:dyDescent="0.35">
      <c r="A377" s="24">
        <v>45988</v>
      </c>
      <c r="B377" s="4" t="s">
        <v>15</v>
      </c>
      <c r="C377" s="4" t="s">
        <v>16</v>
      </c>
      <c r="D377" s="4">
        <v>16838299</v>
      </c>
      <c r="E377" s="18">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8F3D-0EDF-4ABB-AB77-A8FB561B1F85}">
  <sheetPr>
    <tabColor rgb="FFFFFF00"/>
  </sheetPr>
  <dimension ref="A1"/>
  <sheetViews>
    <sheetView workbookViewId="0">
      <selection activeCell="F23" sqref="F23"/>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CF4C-8502-4176-B276-D6E4961664EB}">
  <sheetPr>
    <tabColor rgb="FFFFCC66"/>
  </sheetPr>
  <dimension ref="A1:M90"/>
  <sheetViews>
    <sheetView topLeftCell="A59" zoomScale="77" workbookViewId="0">
      <selection activeCell="A14" sqref="A14:E14"/>
    </sheetView>
  </sheetViews>
  <sheetFormatPr defaultRowHeight="14.5" x14ac:dyDescent="0.35"/>
  <cols>
    <col min="1" max="1" width="13.54296875" bestFit="1" customWidth="1"/>
    <col min="2" max="2" width="14.1796875" bestFit="1" customWidth="1"/>
    <col min="3" max="3" width="12" bestFit="1" customWidth="1"/>
    <col min="4" max="4" width="16.6328125" customWidth="1"/>
    <col min="5" max="5" width="14.1796875" bestFit="1" customWidth="1"/>
    <col min="6" max="6" width="13.453125" bestFit="1" customWidth="1"/>
    <col min="7" max="7" width="23.08984375" customWidth="1"/>
    <col min="8" max="8" width="13.6328125" customWidth="1"/>
    <col min="9" max="9" width="11.6328125" bestFit="1" customWidth="1"/>
    <col min="10" max="10" width="13.1796875" customWidth="1"/>
    <col min="11" max="11" width="19.1796875" customWidth="1"/>
    <col min="12" max="12" width="10.36328125" bestFit="1" customWidth="1"/>
    <col min="13" max="13" width="13.7265625" bestFit="1" customWidth="1"/>
    <col min="14" max="14" width="13.36328125" bestFit="1" customWidth="1"/>
    <col min="15" max="15" width="29.90625" bestFit="1" customWidth="1"/>
    <col min="16" max="16" width="11.81640625" bestFit="1" customWidth="1"/>
    <col min="17" max="17" width="9.81640625" bestFit="1" customWidth="1"/>
    <col min="18" max="18" width="26" bestFit="1" customWidth="1"/>
    <col min="19" max="19" width="12" bestFit="1" customWidth="1"/>
    <col min="20" max="20" width="35.90625" bestFit="1" customWidth="1"/>
    <col min="21" max="21" width="13.7265625" bestFit="1" customWidth="1"/>
    <col min="22" max="22" width="13.36328125" bestFit="1" customWidth="1"/>
    <col min="23" max="23" width="29.90625" bestFit="1" customWidth="1"/>
    <col min="24" max="24" width="11.81640625" bestFit="1" customWidth="1"/>
    <col min="25" max="25" width="9.81640625" bestFit="1" customWidth="1"/>
    <col min="26" max="26" width="26" bestFit="1" customWidth="1"/>
    <col min="27" max="27" width="12" bestFit="1" customWidth="1"/>
    <col min="28" max="28" width="35.90625" bestFit="1" customWidth="1"/>
    <col min="29" max="29" width="13.7265625" bestFit="1" customWidth="1"/>
    <col min="30" max="30" width="13.36328125" bestFit="1" customWidth="1"/>
    <col min="31" max="31" width="29.90625" bestFit="1" customWidth="1"/>
    <col min="32" max="32" width="11.81640625" bestFit="1" customWidth="1"/>
    <col min="33" max="33" width="10.81640625" bestFit="1" customWidth="1"/>
    <col min="34" max="34" width="26" bestFit="1" customWidth="1"/>
    <col min="35" max="35" width="12" bestFit="1" customWidth="1"/>
    <col min="36" max="36" width="35.90625" bestFit="1" customWidth="1"/>
    <col min="37" max="37" width="13.7265625" bestFit="1" customWidth="1"/>
    <col min="38" max="38" width="13.36328125" bestFit="1" customWidth="1"/>
    <col min="39" max="39" width="29.90625" bestFit="1" customWidth="1"/>
    <col min="40" max="40" width="11.81640625" bestFit="1" customWidth="1"/>
    <col min="41" max="41" width="9.81640625" bestFit="1" customWidth="1"/>
    <col min="42" max="42" width="26" bestFit="1" customWidth="1"/>
    <col min="43" max="43" width="12" bestFit="1" customWidth="1"/>
    <col min="44" max="44" width="35.90625" bestFit="1" customWidth="1"/>
    <col min="45" max="45" width="13.7265625" bestFit="1" customWidth="1"/>
    <col min="46" max="46" width="13.36328125" bestFit="1" customWidth="1"/>
    <col min="47" max="47" width="29.90625" bestFit="1" customWidth="1"/>
    <col min="48" max="48" width="11.81640625" bestFit="1" customWidth="1"/>
    <col min="49" max="49" width="10.81640625" bestFit="1" customWidth="1"/>
    <col min="50" max="50" width="26" bestFit="1" customWidth="1"/>
    <col min="51" max="51" width="12" bestFit="1" customWidth="1"/>
    <col min="52" max="52" width="35.90625" bestFit="1" customWidth="1"/>
    <col min="53" max="53" width="13.7265625" bestFit="1" customWidth="1"/>
    <col min="54" max="54" width="13.36328125" bestFit="1" customWidth="1"/>
    <col min="55" max="55" width="29.90625" bestFit="1" customWidth="1"/>
    <col min="56" max="56" width="11.81640625" bestFit="1" customWidth="1"/>
    <col min="57" max="57" width="10.81640625" bestFit="1" customWidth="1"/>
    <col min="58" max="58" width="26" bestFit="1" customWidth="1"/>
    <col min="59" max="59" width="12" bestFit="1" customWidth="1"/>
    <col min="60" max="60" width="35.90625" bestFit="1" customWidth="1"/>
    <col min="61" max="61" width="13.7265625" bestFit="1" customWidth="1"/>
    <col min="62" max="62" width="13.36328125" bestFit="1" customWidth="1"/>
    <col min="63" max="63" width="29.90625" bestFit="1" customWidth="1"/>
    <col min="64" max="64" width="11.81640625" bestFit="1" customWidth="1"/>
    <col min="65" max="65" width="10.81640625" bestFit="1" customWidth="1"/>
    <col min="66" max="66" width="26" bestFit="1" customWidth="1"/>
    <col min="67" max="67" width="12" bestFit="1" customWidth="1"/>
    <col min="68" max="68" width="35.90625" bestFit="1" customWidth="1"/>
    <col min="69" max="69" width="13.7265625" bestFit="1" customWidth="1"/>
    <col min="70" max="70" width="13.36328125" bestFit="1" customWidth="1"/>
    <col min="71" max="71" width="29.90625" bestFit="1" customWidth="1"/>
    <col min="72" max="72" width="11.81640625" bestFit="1" customWidth="1"/>
    <col min="73" max="73" width="9.81640625" bestFit="1" customWidth="1"/>
    <col min="74" max="74" width="10.81640625" bestFit="1" customWidth="1"/>
  </cols>
  <sheetData>
    <row r="1" spans="1:13" x14ac:dyDescent="0.35">
      <c r="A1" s="63" t="s">
        <v>59</v>
      </c>
      <c r="B1" s="64"/>
      <c r="C1" s="64"/>
      <c r="D1" s="64"/>
      <c r="E1" s="64"/>
      <c r="F1" s="64"/>
      <c r="G1" s="64"/>
      <c r="H1" s="64"/>
      <c r="I1" s="64"/>
      <c r="J1" s="64"/>
      <c r="K1" s="64"/>
      <c r="L1" s="64"/>
      <c r="M1" s="64"/>
    </row>
    <row r="2" spans="1:13" x14ac:dyDescent="0.35">
      <c r="A2" t="s">
        <v>62</v>
      </c>
    </row>
    <row r="3" spans="1:13" x14ac:dyDescent="0.35">
      <c r="A3" s="62"/>
      <c r="B3" s="62"/>
      <c r="C3" s="62"/>
      <c r="D3" s="62"/>
      <c r="E3" s="62"/>
    </row>
    <row r="4" spans="1:13" x14ac:dyDescent="0.35">
      <c r="A4" s="20" t="s">
        <v>21</v>
      </c>
      <c r="B4" s="20" t="s">
        <v>34</v>
      </c>
      <c r="C4" s="2"/>
      <c r="D4" s="2"/>
      <c r="E4" s="2"/>
      <c r="F4" s="2"/>
      <c r="G4" s="2"/>
      <c r="H4" s="2"/>
      <c r="I4" s="2"/>
    </row>
    <row r="5" spans="1:13" x14ac:dyDescent="0.35">
      <c r="A5" s="20" t="s">
        <v>22</v>
      </c>
      <c r="B5" s="2" t="s">
        <v>6</v>
      </c>
      <c r="C5" s="2" t="s">
        <v>17</v>
      </c>
      <c r="D5" s="2" t="s">
        <v>11</v>
      </c>
      <c r="E5" s="2" t="s">
        <v>19</v>
      </c>
      <c r="F5" s="2" t="s">
        <v>9</v>
      </c>
      <c r="G5" s="2" t="s">
        <v>13</v>
      </c>
      <c r="H5" s="2" t="s">
        <v>15</v>
      </c>
      <c r="I5" s="2" t="s">
        <v>23</v>
      </c>
    </row>
    <row r="6" spans="1:13" x14ac:dyDescent="0.35">
      <c r="A6" s="21" t="s">
        <v>50</v>
      </c>
      <c r="B6" s="9">
        <v>16441641</v>
      </c>
      <c r="C6" s="9"/>
      <c r="D6" s="9"/>
      <c r="E6" s="9"/>
      <c r="F6" s="9">
        <v>19479485</v>
      </c>
      <c r="G6" s="9">
        <v>8533518</v>
      </c>
      <c r="H6" s="9"/>
      <c r="I6" s="9">
        <v>44454644</v>
      </c>
    </row>
    <row r="7" spans="1:13" x14ac:dyDescent="0.35">
      <c r="A7" s="21" t="s">
        <v>51</v>
      </c>
      <c r="B7" s="9">
        <v>419200097</v>
      </c>
      <c r="C7" s="9">
        <v>39518822</v>
      </c>
      <c r="D7" s="9">
        <v>133868388</v>
      </c>
      <c r="E7" s="9">
        <v>177712766</v>
      </c>
      <c r="F7" s="9">
        <v>315022347</v>
      </c>
      <c r="G7" s="9">
        <v>203755839</v>
      </c>
      <c r="H7" s="9">
        <v>182060006</v>
      </c>
      <c r="I7" s="9">
        <v>1471138265</v>
      </c>
    </row>
    <row r="8" spans="1:13" x14ac:dyDescent="0.35">
      <c r="A8" s="21" t="s">
        <v>52</v>
      </c>
      <c r="B8" s="9">
        <v>1336759784</v>
      </c>
      <c r="C8" s="9">
        <v>593376305</v>
      </c>
      <c r="D8" s="9">
        <v>793680111</v>
      </c>
      <c r="E8" s="9">
        <v>851173279</v>
      </c>
      <c r="F8" s="9">
        <v>1169916439</v>
      </c>
      <c r="G8" s="9">
        <v>950593651</v>
      </c>
      <c r="H8" s="9">
        <v>831428305</v>
      </c>
      <c r="I8" s="9">
        <v>6526927874</v>
      </c>
    </row>
    <row r="9" spans="1:13" x14ac:dyDescent="0.35">
      <c r="A9" s="21" t="s">
        <v>23</v>
      </c>
      <c r="B9" s="9">
        <v>1772401522</v>
      </c>
      <c r="C9" s="9">
        <v>632895127</v>
      </c>
      <c r="D9" s="9">
        <v>927548499</v>
      </c>
      <c r="E9" s="9">
        <v>1028886045</v>
      </c>
      <c r="F9" s="9">
        <v>1504418271</v>
      </c>
      <c r="G9" s="9">
        <v>1162883008</v>
      </c>
      <c r="H9" s="9">
        <v>1013488311</v>
      </c>
      <c r="I9" s="9">
        <v>8042520783</v>
      </c>
    </row>
    <row r="13" spans="1:13" x14ac:dyDescent="0.35">
      <c r="A13" s="61" t="s">
        <v>53</v>
      </c>
      <c r="B13" s="61"/>
      <c r="C13" s="61"/>
      <c r="D13" s="61"/>
      <c r="E13" s="61"/>
      <c r="F13" s="61"/>
      <c r="G13" s="61"/>
    </row>
    <row r="14" spans="1:13" x14ac:dyDescent="0.35">
      <c r="A14" s="61"/>
      <c r="B14" s="61"/>
      <c r="C14" s="61"/>
      <c r="D14" s="61"/>
      <c r="E14" s="61"/>
    </row>
    <row r="15" spans="1:13" x14ac:dyDescent="0.35">
      <c r="A15" s="20" t="s">
        <v>22</v>
      </c>
      <c r="B15" s="2" t="s">
        <v>21</v>
      </c>
    </row>
    <row r="16" spans="1:13" x14ac:dyDescent="0.35">
      <c r="A16" s="21" t="s">
        <v>6</v>
      </c>
      <c r="B16" s="2">
        <v>1772401522</v>
      </c>
    </row>
    <row r="17" spans="1:8" x14ac:dyDescent="0.35">
      <c r="A17" s="21" t="s">
        <v>9</v>
      </c>
      <c r="B17" s="2">
        <v>1504418271</v>
      </c>
    </row>
    <row r="18" spans="1:8" x14ac:dyDescent="0.35">
      <c r="A18" s="21" t="s">
        <v>13</v>
      </c>
      <c r="B18" s="2">
        <v>1162883008</v>
      </c>
    </row>
    <row r="19" spans="1:8" x14ac:dyDescent="0.35">
      <c r="A19" s="21" t="s">
        <v>19</v>
      </c>
      <c r="B19" s="2">
        <v>1028886045</v>
      </c>
    </row>
    <row r="20" spans="1:8" x14ac:dyDescent="0.35">
      <c r="A20" s="21" t="s">
        <v>15</v>
      </c>
      <c r="B20" s="2">
        <v>1013488311</v>
      </c>
    </row>
    <row r="21" spans="1:8" x14ac:dyDescent="0.35">
      <c r="A21" s="21" t="s">
        <v>11</v>
      </c>
      <c r="B21" s="2">
        <v>927548499</v>
      </c>
    </row>
    <row r="22" spans="1:8" x14ac:dyDescent="0.35">
      <c r="A22" s="21" t="s">
        <v>17</v>
      </c>
      <c r="B22" s="2">
        <v>632895127</v>
      </c>
    </row>
    <row r="23" spans="1:8" x14ac:dyDescent="0.35">
      <c r="A23" s="21" t="s">
        <v>23</v>
      </c>
      <c r="B23" s="2">
        <v>8042520783</v>
      </c>
    </row>
    <row r="28" spans="1:8" x14ac:dyDescent="0.35">
      <c r="A28" s="61" t="s">
        <v>54</v>
      </c>
      <c r="B28" s="61"/>
      <c r="C28" s="61"/>
      <c r="D28" s="61"/>
      <c r="E28" s="61"/>
    </row>
    <row r="30" spans="1:8" x14ac:dyDescent="0.35">
      <c r="A30" s="20" t="s">
        <v>21</v>
      </c>
      <c r="B30" s="20" t="s">
        <v>34</v>
      </c>
      <c r="C30" s="2"/>
      <c r="D30" s="2"/>
      <c r="E30" s="2"/>
      <c r="F30" s="2"/>
      <c r="G30" s="2"/>
      <c r="H30" s="2"/>
    </row>
    <row r="31" spans="1:8" x14ac:dyDescent="0.35">
      <c r="A31" s="20" t="s">
        <v>22</v>
      </c>
      <c r="B31" s="2" t="s">
        <v>7</v>
      </c>
      <c r="C31" s="2" t="s">
        <v>10</v>
      </c>
      <c r="D31" s="2" t="s">
        <v>14</v>
      </c>
      <c r="E31" s="2" t="s">
        <v>20</v>
      </c>
      <c r="F31" s="2" t="s">
        <v>16</v>
      </c>
      <c r="G31" s="2" t="s">
        <v>12</v>
      </c>
      <c r="H31" s="2" t="s">
        <v>18</v>
      </c>
    </row>
    <row r="32" spans="1:8" x14ac:dyDescent="0.35">
      <c r="A32" s="21" t="s">
        <v>24</v>
      </c>
      <c r="B32" s="2">
        <v>113885078</v>
      </c>
      <c r="C32" s="2">
        <v>77521681</v>
      </c>
      <c r="D32" s="2">
        <v>39876371</v>
      </c>
      <c r="E32" s="2">
        <v>16251595</v>
      </c>
      <c r="F32" s="2">
        <v>41023501</v>
      </c>
      <c r="G32" s="2">
        <v>45359923</v>
      </c>
      <c r="H32" s="2">
        <v>25543547</v>
      </c>
    </row>
    <row r="33" spans="1:8" x14ac:dyDescent="0.35">
      <c r="A33" s="21" t="s">
        <v>25</v>
      </c>
      <c r="B33" s="2">
        <v>143762983</v>
      </c>
      <c r="C33" s="2">
        <v>103362271</v>
      </c>
      <c r="D33" s="2">
        <v>72762503</v>
      </c>
      <c r="E33" s="2">
        <v>69704599</v>
      </c>
      <c r="F33" s="2">
        <v>90474022</v>
      </c>
      <c r="G33" s="2">
        <v>78724826</v>
      </c>
      <c r="H33" s="2">
        <v>36691887</v>
      </c>
    </row>
    <row r="34" spans="1:8" x14ac:dyDescent="0.35">
      <c r="A34" s="21" t="s">
        <v>26</v>
      </c>
      <c r="B34" s="2">
        <v>151935700</v>
      </c>
      <c r="C34" s="2">
        <v>116847808</v>
      </c>
      <c r="D34" s="2">
        <v>67979819</v>
      </c>
      <c r="E34" s="2">
        <v>67909290</v>
      </c>
      <c r="F34" s="2">
        <v>86497197</v>
      </c>
      <c r="G34" s="2">
        <v>72808277</v>
      </c>
      <c r="H34" s="2">
        <v>46795076</v>
      </c>
    </row>
    <row r="35" spans="1:8" x14ac:dyDescent="0.35">
      <c r="A35" s="21" t="s">
        <v>27</v>
      </c>
      <c r="B35" s="2">
        <v>216648507</v>
      </c>
      <c r="C35" s="2">
        <v>177812370</v>
      </c>
      <c r="D35" s="2">
        <v>132228451</v>
      </c>
      <c r="E35" s="2">
        <v>127475378</v>
      </c>
      <c r="F35" s="2">
        <v>141074344</v>
      </c>
      <c r="G35" s="2">
        <v>131811803</v>
      </c>
      <c r="H35" s="2">
        <v>80509419</v>
      </c>
    </row>
    <row r="36" spans="1:8" x14ac:dyDescent="0.35">
      <c r="A36" s="21" t="s">
        <v>28</v>
      </c>
      <c r="B36" s="2">
        <v>195881183</v>
      </c>
      <c r="C36" s="2">
        <v>157501660</v>
      </c>
      <c r="D36" s="2">
        <v>121434499</v>
      </c>
      <c r="E36" s="2">
        <v>120257604</v>
      </c>
      <c r="F36" s="2">
        <v>107673665</v>
      </c>
      <c r="G36" s="2">
        <v>118260877</v>
      </c>
      <c r="H36" s="2">
        <v>80259967</v>
      </c>
    </row>
    <row r="37" spans="1:8" x14ac:dyDescent="0.35">
      <c r="A37" s="21" t="s">
        <v>29</v>
      </c>
      <c r="B37" s="2">
        <v>252046081</v>
      </c>
      <c r="C37" s="2">
        <v>208529876</v>
      </c>
      <c r="D37" s="2">
        <v>193908916</v>
      </c>
      <c r="E37" s="2">
        <v>172205826</v>
      </c>
      <c r="F37" s="2">
        <v>135524605</v>
      </c>
      <c r="G37" s="2">
        <v>152308677</v>
      </c>
      <c r="H37" s="2">
        <v>108289313</v>
      </c>
    </row>
    <row r="38" spans="1:8" x14ac:dyDescent="0.35">
      <c r="A38" s="21" t="s">
        <v>30</v>
      </c>
      <c r="B38" s="2">
        <v>306637387</v>
      </c>
      <c r="C38" s="2">
        <v>280387751</v>
      </c>
      <c r="D38" s="2">
        <v>234443913</v>
      </c>
      <c r="E38" s="2">
        <v>195129912</v>
      </c>
      <c r="F38" s="2">
        <v>178472753</v>
      </c>
      <c r="G38" s="2">
        <v>161195375</v>
      </c>
      <c r="H38" s="2">
        <v>117952333</v>
      </c>
    </row>
    <row r="39" spans="1:8" x14ac:dyDescent="0.35">
      <c r="A39" s="21" t="s">
        <v>31</v>
      </c>
      <c r="B39" s="2">
        <v>312127332</v>
      </c>
      <c r="C39" s="2">
        <v>310097292</v>
      </c>
      <c r="D39" s="2">
        <v>249653195</v>
      </c>
      <c r="E39" s="2">
        <v>221784411</v>
      </c>
      <c r="F39" s="2">
        <v>195175602</v>
      </c>
      <c r="G39" s="2">
        <v>144672493</v>
      </c>
      <c r="H39" s="2">
        <v>126984207</v>
      </c>
    </row>
    <row r="40" spans="1:8" x14ac:dyDescent="0.35">
      <c r="A40" s="21" t="s">
        <v>32</v>
      </c>
      <c r="B40" s="2">
        <v>79477271</v>
      </c>
      <c r="C40" s="2">
        <v>72357562</v>
      </c>
      <c r="D40" s="2">
        <v>50595341</v>
      </c>
      <c r="E40" s="2">
        <v>38167430</v>
      </c>
      <c r="F40" s="2">
        <v>37572622</v>
      </c>
      <c r="G40" s="2">
        <v>22406248</v>
      </c>
      <c r="H40" s="2">
        <v>9869378</v>
      </c>
    </row>
    <row r="41" spans="1:8" x14ac:dyDescent="0.35">
      <c r="A41" s="21" t="s">
        <v>23</v>
      </c>
      <c r="B41" s="2">
        <v>1772401522</v>
      </c>
      <c r="C41" s="2">
        <v>1504418271</v>
      </c>
      <c r="D41" s="2">
        <v>1162883008</v>
      </c>
      <c r="E41" s="2">
        <v>1028886045</v>
      </c>
      <c r="F41" s="2">
        <v>1013488311</v>
      </c>
      <c r="G41" s="2">
        <v>927548499</v>
      </c>
      <c r="H41" s="2">
        <v>632895127</v>
      </c>
    </row>
    <row r="43" spans="1:8" x14ac:dyDescent="0.35">
      <c r="A43" s="61" t="s">
        <v>55</v>
      </c>
      <c r="B43" s="61"/>
      <c r="C43" s="61"/>
      <c r="D43" s="61"/>
      <c r="E43" s="61"/>
    </row>
    <row r="45" spans="1:8" x14ac:dyDescent="0.35">
      <c r="A45" s="20" t="s">
        <v>22</v>
      </c>
      <c r="B45" s="2" t="s">
        <v>21</v>
      </c>
    </row>
    <row r="46" spans="1:8" x14ac:dyDescent="0.35">
      <c r="A46" s="21">
        <v>45</v>
      </c>
      <c r="B46" s="2">
        <v>87026325</v>
      </c>
    </row>
    <row r="47" spans="1:8" x14ac:dyDescent="0.35">
      <c r="A47" s="21">
        <v>46</v>
      </c>
      <c r="B47" s="2">
        <v>247137129</v>
      </c>
    </row>
    <row r="48" spans="1:8" x14ac:dyDescent="0.35">
      <c r="A48" s="21">
        <v>47</v>
      </c>
      <c r="B48" s="2">
        <v>498474073</v>
      </c>
    </row>
    <row r="49" spans="1:5" x14ac:dyDescent="0.35">
      <c r="A49" s="21">
        <v>48</v>
      </c>
      <c r="B49" s="2">
        <v>885976489</v>
      </c>
    </row>
    <row r="50" spans="1:5" x14ac:dyDescent="0.35">
      <c r="A50" s="21">
        <v>49</v>
      </c>
      <c r="B50" s="2">
        <v>1193738974</v>
      </c>
    </row>
    <row r="51" spans="1:5" x14ac:dyDescent="0.35">
      <c r="A51" s="21">
        <v>50</v>
      </c>
      <c r="B51" s="2">
        <v>1302528175</v>
      </c>
    </row>
    <row r="52" spans="1:5" x14ac:dyDescent="0.35">
      <c r="A52" s="21">
        <v>51</v>
      </c>
      <c r="B52" s="2">
        <v>1495591873</v>
      </c>
    </row>
    <row r="53" spans="1:5" x14ac:dyDescent="0.35">
      <c r="A53" s="21">
        <v>52</v>
      </c>
      <c r="B53" s="2">
        <v>2166761380</v>
      </c>
    </row>
    <row r="54" spans="1:5" x14ac:dyDescent="0.35">
      <c r="A54" s="21">
        <v>53</v>
      </c>
      <c r="B54" s="2">
        <v>120831721</v>
      </c>
    </row>
    <row r="55" spans="1:5" x14ac:dyDescent="0.35">
      <c r="A55" s="21">
        <v>54</v>
      </c>
      <c r="B55" s="2">
        <v>44454644</v>
      </c>
    </row>
    <row r="56" spans="1:5" x14ac:dyDescent="0.35">
      <c r="A56" s="21" t="s">
        <v>23</v>
      </c>
      <c r="B56" s="2">
        <v>8042520783</v>
      </c>
    </row>
    <row r="59" spans="1:5" x14ac:dyDescent="0.35">
      <c r="A59" s="61" t="s">
        <v>56</v>
      </c>
      <c r="B59" s="61"/>
      <c r="C59" s="61"/>
      <c r="D59" s="61"/>
      <c r="E59" s="61"/>
    </row>
    <row r="61" spans="1:5" x14ac:dyDescent="0.35">
      <c r="A61" s="20" t="s">
        <v>22</v>
      </c>
      <c r="B61" s="2" t="s">
        <v>57</v>
      </c>
    </row>
    <row r="62" spans="1:5" x14ac:dyDescent="0.35">
      <c r="A62" s="21">
        <v>45</v>
      </c>
      <c r="B62" s="37"/>
    </row>
    <row r="63" spans="1:5" x14ac:dyDescent="0.35">
      <c r="A63" s="21">
        <v>46</v>
      </c>
      <c r="B63" s="37">
        <v>1.8397973716573692</v>
      </c>
    </row>
    <row r="64" spans="1:5" x14ac:dyDescent="0.35">
      <c r="A64" s="21">
        <v>47</v>
      </c>
      <c r="B64" s="37">
        <v>1.0169938649728345</v>
      </c>
    </row>
    <row r="65" spans="1:9" x14ac:dyDescent="0.35">
      <c r="A65" s="21">
        <v>48</v>
      </c>
      <c r="B65" s="37">
        <v>0.77737727394299205</v>
      </c>
    </row>
    <row r="66" spans="1:9" x14ac:dyDescent="0.35">
      <c r="A66" s="21">
        <v>49</v>
      </c>
      <c r="B66" s="37">
        <v>0.34737093909497635</v>
      </c>
    </row>
    <row r="67" spans="1:9" x14ac:dyDescent="0.35">
      <c r="A67" s="21">
        <v>50</v>
      </c>
      <c r="B67" s="37">
        <v>9.1133156719736957E-2</v>
      </c>
    </row>
    <row r="68" spans="1:9" x14ac:dyDescent="0.35">
      <c r="A68" s="21">
        <v>51</v>
      </c>
      <c r="B68" s="37">
        <v>0.14822228164085588</v>
      </c>
    </row>
    <row r="69" spans="1:9" x14ac:dyDescent="0.35">
      <c r="A69" s="21">
        <v>52</v>
      </c>
      <c r="B69" s="37">
        <v>0.44876514717461291</v>
      </c>
    </row>
    <row r="70" spans="1:9" x14ac:dyDescent="0.35">
      <c r="A70" s="21">
        <v>53</v>
      </c>
      <c r="B70" s="37">
        <v>-0.94423395113309616</v>
      </c>
    </row>
    <row r="71" spans="1:9" x14ac:dyDescent="0.35">
      <c r="A71" s="21">
        <v>54</v>
      </c>
      <c r="B71" s="37">
        <v>-0.63209458880420977</v>
      </c>
    </row>
    <row r="72" spans="1:9" x14ac:dyDescent="0.35">
      <c r="A72" s="21" t="s">
        <v>23</v>
      </c>
      <c r="B72" s="37"/>
    </row>
    <row r="77" spans="1:9" x14ac:dyDescent="0.35">
      <c r="A77" s="61" t="s">
        <v>58</v>
      </c>
      <c r="B77" s="61"/>
      <c r="C77" s="61"/>
      <c r="D77" s="61"/>
      <c r="E77" s="61"/>
      <c r="F77" s="61"/>
    </row>
    <row r="79" spans="1:9" x14ac:dyDescent="0.35">
      <c r="A79" s="20" t="s">
        <v>61</v>
      </c>
      <c r="B79" s="20" t="s">
        <v>34</v>
      </c>
      <c r="C79" s="2"/>
      <c r="D79" s="2"/>
      <c r="E79" s="2"/>
      <c r="F79" s="2"/>
      <c r="G79" s="2"/>
      <c r="H79" s="2"/>
      <c r="I79" s="2"/>
    </row>
    <row r="80" spans="1:9" x14ac:dyDescent="0.35">
      <c r="A80" s="20" t="s">
        <v>22</v>
      </c>
      <c r="B80" s="2" t="s">
        <v>6</v>
      </c>
      <c r="C80" s="2" t="s">
        <v>17</v>
      </c>
      <c r="D80" s="2" t="s">
        <v>11</v>
      </c>
      <c r="E80" s="2" t="s">
        <v>19</v>
      </c>
      <c r="F80" s="2" t="s">
        <v>9</v>
      </c>
      <c r="G80" s="2" t="s">
        <v>13</v>
      </c>
      <c r="H80" s="2" t="s">
        <v>15</v>
      </c>
      <c r="I80" s="2" t="s">
        <v>23</v>
      </c>
    </row>
    <row r="81" spans="1:9" x14ac:dyDescent="0.35">
      <c r="A81" s="21" t="s">
        <v>24</v>
      </c>
      <c r="B81" s="37"/>
      <c r="C81" s="37"/>
      <c r="D81" s="37"/>
      <c r="E81" s="37"/>
      <c r="F81" s="37"/>
      <c r="G81" s="37"/>
      <c r="H81" s="37"/>
      <c r="I81" s="37"/>
    </row>
    <row r="82" spans="1:9" x14ac:dyDescent="0.35">
      <c r="A82" s="21" t="s">
        <v>25</v>
      </c>
      <c r="B82" s="37">
        <v>0.26235135914821078</v>
      </c>
      <c r="C82" s="37">
        <v>0.43644447656388519</v>
      </c>
      <c r="D82" s="37">
        <v>0.73555907491289174</v>
      </c>
      <c r="E82" s="37">
        <v>3.289092793661176</v>
      </c>
      <c r="F82" s="37">
        <v>0.33333371602197326</v>
      </c>
      <c r="G82" s="37">
        <v>0.82470222779299551</v>
      </c>
      <c r="H82" s="37">
        <v>1.2054193278140741</v>
      </c>
      <c r="I82" s="37">
        <v>0.65659678799267673</v>
      </c>
    </row>
    <row r="83" spans="1:9" x14ac:dyDescent="0.35">
      <c r="A83" s="21" t="s">
        <v>26</v>
      </c>
      <c r="B83" s="37">
        <v>0.33411420238918393</v>
      </c>
      <c r="C83" s="37">
        <v>0.83197251344928724</v>
      </c>
      <c r="D83" s="37">
        <v>0.60512346989654286</v>
      </c>
      <c r="E83" s="37">
        <v>3.1786230828420226</v>
      </c>
      <c r="F83" s="37">
        <v>0.50729197938832105</v>
      </c>
      <c r="G83" s="37">
        <v>0.70476443305234571</v>
      </c>
      <c r="H83" s="37">
        <v>1.1084791617370735</v>
      </c>
      <c r="I83" s="37">
        <v>0.69913282498950879</v>
      </c>
    </row>
    <row r="84" spans="1:9" x14ac:dyDescent="0.35">
      <c r="A84" s="21" t="s">
        <v>27</v>
      </c>
      <c r="B84" s="37">
        <v>0.90234322884689078</v>
      </c>
      <c r="C84" s="37">
        <v>2.1518496237033955</v>
      </c>
      <c r="D84" s="37">
        <v>1.9059088790781236</v>
      </c>
      <c r="E84" s="37">
        <v>6.8438687402682632</v>
      </c>
      <c r="F84" s="37">
        <v>1.2937114844039566</v>
      </c>
      <c r="G84" s="37">
        <v>2.3159599954569585</v>
      </c>
      <c r="H84" s="37">
        <v>2.4388665170239858</v>
      </c>
      <c r="I84" s="37">
        <v>1.8029697829056033</v>
      </c>
    </row>
    <row r="85" spans="1:9" x14ac:dyDescent="0.35">
      <c r="A85" s="21" t="s">
        <v>28</v>
      </c>
      <c r="B85" s="37">
        <v>0.71998989191542728</v>
      </c>
      <c r="C85" s="37">
        <v>2.1420838695581312</v>
      </c>
      <c r="D85" s="37">
        <v>1.6071666171038252</v>
      </c>
      <c r="E85" s="37">
        <v>6.3997416253604644</v>
      </c>
      <c r="F85" s="37">
        <v>1.0317111028590826</v>
      </c>
      <c r="G85" s="37">
        <v>2.0452745812802275</v>
      </c>
      <c r="H85" s="37">
        <v>1.624682496016125</v>
      </c>
      <c r="I85" s="37">
        <v>1.5072753648833839</v>
      </c>
    </row>
    <row r="86" spans="1:9" x14ac:dyDescent="0.35">
      <c r="A86" s="21" t="s">
        <v>29</v>
      </c>
      <c r="B86" s="37">
        <v>1.213161596113584</v>
      </c>
      <c r="C86" s="37">
        <v>3.2393999940572074</v>
      </c>
      <c r="D86" s="37">
        <v>2.3577807660740517</v>
      </c>
      <c r="E86" s="37">
        <v>9.5962415381382566</v>
      </c>
      <c r="F86" s="37">
        <v>1.6899555493385134</v>
      </c>
      <c r="G86" s="37">
        <v>3.862752330195744</v>
      </c>
      <c r="H86" s="37">
        <v>2.3035845721699864</v>
      </c>
      <c r="I86" s="37">
        <v>2.4017902536130027</v>
      </c>
    </row>
    <row r="87" spans="1:9" x14ac:dyDescent="0.35">
      <c r="A87" s="21" t="s">
        <v>30</v>
      </c>
      <c r="B87" s="37">
        <v>1.6925159325965426</v>
      </c>
      <c r="C87" s="37">
        <v>3.6176959292301887</v>
      </c>
      <c r="D87" s="37">
        <v>2.5536959575526614</v>
      </c>
      <c r="E87" s="37">
        <v>11.006816069438107</v>
      </c>
      <c r="F87" s="37">
        <v>2.6168946207448727</v>
      </c>
      <c r="G87" s="37">
        <v>4.8792690287689418</v>
      </c>
      <c r="H87" s="37">
        <v>3.350500290065443</v>
      </c>
      <c r="I87" s="37">
        <v>3.1011864140317194</v>
      </c>
    </row>
    <row r="88" spans="1:9" x14ac:dyDescent="0.35">
      <c r="A88" s="21" t="s">
        <v>31</v>
      </c>
      <c r="B88" s="37">
        <v>1.7407219407620724</v>
      </c>
      <c r="C88" s="37">
        <v>3.9712832364275799</v>
      </c>
      <c r="D88" s="37">
        <v>2.1894342721878077</v>
      </c>
      <c r="E88" s="37">
        <v>12.64693194729502</v>
      </c>
      <c r="F88" s="37">
        <v>3.000136323153261</v>
      </c>
      <c r="G88" s="37">
        <v>5.2606799149300718</v>
      </c>
      <c r="H88" s="37">
        <v>3.7576534728228097</v>
      </c>
      <c r="I88" s="37">
        <v>3.3411983790339654</v>
      </c>
    </row>
    <row r="89" spans="1:9" x14ac:dyDescent="0.35">
      <c r="A89" s="21" t="s">
        <v>32</v>
      </c>
      <c r="B89" s="37">
        <v>-0.30212743938235703</v>
      </c>
      <c r="C89" s="37">
        <v>-0.61362539039703456</v>
      </c>
      <c r="D89" s="37">
        <v>-0.50603425847967154</v>
      </c>
      <c r="E89" s="37">
        <v>1.3485344053922093</v>
      </c>
      <c r="F89" s="37">
        <v>-6.6615157635707106E-2</v>
      </c>
      <c r="G89" s="37">
        <v>0.26880505249587533</v>
      </c>
      <c r="H89" s="37">
        <v>-8.4119563564309149E-2</v>
      </c>
      <c r="I89" s="37">
        <v>-0.13635901834725667</v>
      </c>
    </row>
    <row r="90" spans="1:9" x14ac:dyDescent="0.35">
      <c r="A90" s="21" t="s">
        <v>23</v>
      </c>
      <c r="B90" s="37"/>
      <c r="C90" s="37"/>
      <c r="D90" s="37"/>
      <c r="E90" s="37"/>
      <c r="F90" s="37"/>
      <c r="G90" s="37"/>
      <c r="H90" s="37"/>
      <c r="I90" s="37"/>
    </row>
  </sheetData>
  <mergeCells count="8">
    <mergeCell ref="A77:F77"/>
    <mergeCell ref="A3:E3"/>
    <mergeCell ref="A14:E14"/>
    <mergeCell ref="A1:M1"/>
    <mergeCell ref="A13:G13"/>
    <mergeCell ref="A28:E28"/>
    <mergeCell ref="A43:E43"/>
    <mergeCell ref="A59:E59"/>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59AE-EAAB-4203-9167-D035D1081C92}">
  <sheetPr>
    <tabColor rgb="FFFF7C3B"/>
  </sheetPr>
  <dimension ref="A1:I105"/>
  <sheetViews>
    <sheetView topLeftCell="A93" zoomScale="80" zoomScaleNormal="82" workbookViewId="0">
      <selection activeCell="H38" sqref="H38"/>
    </sheetView>
  </sheetViews>
  <sheetFormatPr defaultRowHeight="14.5" x14ac:dyDescent="0.35"/>
  <cols>
    <col min="1" max="1" width="37.90625" bestFit="1" customWidth="1"/>
    <col min="2" max="2" width="17" bestFit="1" customWidth="1"/>
    <col min="3" max="3" width="21.453125" bestFit="1" customWidth="1"/>
    <col min="4" max="5" width="10.1796875" bestFit="1" customWidth="1"/>
    <col min="6" max="9" width="11.26953125" bestFit="1" customWidth="1"/>
    <col min="10" max="10" width="10.1796875" bestFit="1" customWidth="1"/>
    <col min="11" max="11" width="11.26953125" bestFit="1" customWidth="1"/>
    <col min="12" max="12" width="11" bestFit="1" customWidth="1"/>
  </cols>
  <sheetData>
    <row r="1" spans="1:9" x14ac:dyDescent="0.35">
      <c r="A1" s="63" t="s">
        <v>60</v>
      </c>
      <c r="B1" s="63"/>
      <c r="C1" s="63"/>
      <c r="D1" s="63"/>
      <c r="E1" s="63"/>
      <c r="F1" s="63"/>
      <c r="G1" s="63"/>
      <c r="H1" s="63"/>
      <c r="I1" s="63"/>
    </row>
    <row r="3" spans="1:9" x14ac:dyDescent="0.35">
      <c r="A3" s="61" t="s">
        <v>64</v>
      </c>
      <c r="B3" s="61"/>
      <c r="C3" s="61"/>
      <c r="D3" s="61"/>
      <c r="E3" s="61"/>
      <c r="F3" s="61"/>
      <c r="G3" s="61"/>
    </row>
    <row r="5" spans="1:9" x14ac:dyDescent="0.35">
      <c r="A5" s="22"/>
      <c r="B5" s="22" t="s">
        <v>6</v>
      </c>
      <c r="C5" s="22" t="s">
        <v>17</v>
      </c>
      <c r="D5" s="22" t="s">
        <v>11</v>
      </c>
      <c r="E5" s="22" t="s">
        <v>19</v>
      </c>
      <c r="F5" s="22" t="s">
        <v>9</v>
      </c>
      <c r="G5" s="22" t="s">
        <v>13</v>
      </c>
      <c r="H5" s="22" t="s">
        <v>15</v>
      </c>
    </row>
    <row r="6" spans="1:9" x14ac:dyDescent="0.35">
      <c r="A6" s="29">
        <v>2017</v>
      </c>
      <c r="B6" s="30">
        <v>113885078</v>
      </c>
      <c r="C6" s="30">
        <v>25543547</v>
      </c>
      <c r="D6" s="30">
        <v>45359923</v>
      </c>
      <c r="E6" s="30">
        <v>16251595</v>
      </c>
      <c r="F6" s="30">
        <v>77521681</v>
      </c>
      <c r="G6" s="30">
        <v>39876371</v>
      </c>
      <c r="H6" s="30">
        <v>41023501</v>
      </c>
    </row>
    <row r="7" spans="1:9" x14ac:dyDescent="0.35">
      <c r="A7" s="29">
        <v>2018</v>
      </c>
      <c r="B7" s="30">
        <v>143762983</v>
      </c>
      <c r="C7" s="30">
        <v>36691887</v>
      </c>
      <c r="D7" s="30">
        <v>78724826</v>
      </c>
      <c r="E7" s="30">
        <v>69704599</v>
      </c>
      <c r="F7" s="30">
        <v>103362271</v>
      </c>
      <c r="G7" s="30">
        <v>72762503</v>
      </c>
      <c r="H7" s="30">
        <v>90474022</v>
      </c>
    </row>
    <row r="8" spans="1:9" x14ac:dyDescent="0.35">
      <c r="A8" s="29">
        <v>2019</v>
      </c>
      <c r="B8" s="30">
        <v>151935700</v>
      </c>
      <c r="C8" s="30">
        <v>46795076</v>
      </c>
      <c r="D8" s="30">
        <v>72808277</v>
      </c>
      <c r="E8" s="30">
        <v>67909290</v>
      </c>
      <c r="F8" s="30">
        <v>116847808</v>
      </c>
      <c r="G8" s="30">
        <v>67979819</v>
      </c>
      <c r="H8" s="30">
        <v>86497197</v>
      </c>
    </row>
    <row r="9" spans="1:9" x14ac:dyDescent="0.35">
      <c r="A9" s="29">
        <v>2020</v>
      </c>
      <c r="B9" s="30">
        <v>216648507</v>
      </c>
      <c r="C9" s="30">
        <v>80509419</v>
      </c>
      <c r="D9" s="30">
        <v>131811803</v>
      </c>
      <c r="E9" s="30">
        <v>127475378</v>
      </c>
      <c r="F9" s="30">
        <v>177812370</v>
      </c>
      <c r="G9" s="30">
        <v>132228451</v>
      </c>
      <c r="H9" s="30">
        <v>141074344</v>
      </c>
    </row>
    <row r="10" spans="1:9" x14ac:dyDescent="0.35">
      <c r="A10" s="29">
        <v>2021</v>
      </c>
      <c r="B10" s="30">
        <v>195881183</v>
      </c>
      <c r="C10" s="30">
        <v>80259967</v>
      </c>
      <c r="D10" s="30">
        <v>118260877</v>
      </c>
      <c r="E10" s="30">
        <v>120257604</v>
      </c>
      <c r="F10" s="30">
        <v>157501660</v>
      </c>
      <c r="G10" s="30">
        <v>121434499</v>
      </c>
      <c r="H10" s="30">
        <v>107673665</v>
      </c>
    </row>
    <row r="11" spans="1:9" x14ac:dyDescent="0.35">
      <c r="A11" s="29">
        <v>2022</v>
      </c>
      <c r="B11" s="30">
        <v>252046081</v>
      </c>
      <c r="C11" s="30">
        <v>108289313</v>
      </c>
      <c r="D11" s="30">
        <v>152308677</v>
      </c>
      <c r="E11" s="30">
        <v>172205826</v>
      </c>
      <c r="F11" s="30">
        <v>208529876</v>
      </c>
      <c r="G11" s="30">
        <v>193908916</v>
      </c>
      <c r="H11" s="30">
        <v>135524605</v>
      </c>
    </row>
    <row r="12" spans="1:9" x14ac:dyDescent="0.35">
      <c r="A12" s="29">
        <v>2023</v>
      </c>
      <c r="B12" s="30">
        <v>306637387</v>
      </c>
      <c r="C12" s="30">
        <v>117952333</v>
      </c>
      <c r="D12" s="30">
        <v>161195375</v>
      </c>
      <c r="E12" s="30">
        <v>195129912</v>
      </c>
      <c r="F12" s="30">
        <v>280387751</v>
      </c>
      <c r="G12" s="30">
        <v>234443913</v>
      </c>
      <c r="H12" s="30">
        <v>178472753</v>
      </c>
    </row>
    <row r="13" spans="1:9" x14ac:dyDescent="0.35">
      <c r="A13" s="29">
        <v>2024</v>
      </c>
      <c r="B13" s="30">
        <v>312127332</v>
      </c>
      <c r="C13" s="30">
        <v>126984207</v>
      </c>
      <c r="D13" s="30">
        <v>144672493</v>
      </c>
      <c r="E13" s="30">
        <v>221784411</v>
      </c>
      <c r="F13" s="30">
        <v>310097292</v>
      </c>
      <c r="G13" s="30">
        <v>249653195</v>
      </c>
      <c r="H13" s="30">
        <v>195175602</v>
      </c>
    </row>
    <row r="17" spans="1:3" x14ac:dyDescent="0.35">
      <c r="A17" s="38" t="s">
        <v>65</v>
      </c>
      <c r="B17" s="35"/>
      <c r="C17" s="35"/>
    </row>
    <row r="19" spans="1:3" x14ac:dyDescent="0.35">
      <c r="A19" s="34" t="s">
        <v>22</v>
      </c>
      <c r="B19" t="s">
        <v>21</v>
      </c>
    </row>
    <row r="20" spans="1:3" x14ac:dyDescent="0.35">
      <c r="A20" s="35" t="s">
        <v>24</v>
      </c>
      <c r="B20">
        <v>359461696</v>
      </c>
    </row>
    <row r="21" spans="1:3" x14ac:dyDescent="0.35">
      <c r="A21" s="35" t="s">
        <v>25</v>
      </c>
      <c r="B21">
        <v>595483091</v>
      </c>
    </row>
    <row r="22" spans="1:3" x14ac:dyDescent="0.35">
      <c r="A22" s="35" t="s">
        <v>26</v>
      </c>
      <c r="B22">
        <v>610773167</v>
      </c>
    </row>
    <row r="23" spans="1:3" x14ac:dyDescent="0.35">
      <c r="A23" s="35" t="s">
        <v>27</v>
      </c>
      <c r="B23">
        <v>1007560272</v>
      </c>
    </row>
    <row r="24" spans="1:3" x14ac:dyDescent="0.35">
      <c r="A24" s="35" t="s">
        <v>28</v>
      </c>
      <c r="B24">
        <v>901269455</v>
      </c>
    </row>
    <row r="25" spans="1:3" x14ac:dyDescent="0.35">
      <c r="A25" s="35" t="s">
        <v>29</v>
      </c>
      <c r="B25">
        <v>1222813294</v>
      </c>
    </row>
    <row r="26" spans="1:3" x14ac:dyDescent="0.35">
      <c r="A26" s="35" t="s">
        <v>30</v>
      </c>
      <c r="B26">
        <v>1474219424</v>
      </c>
    </row>
    <row r="27" spans="1:3" x14ac:dyDescent="0.35">
      <c r="A27" s="35" t="s">
        <v>31</v>
      </c>
      <c r="B27">
        <v>1560494532</v>
      </c>
    </row>
    <row r="28" spans="1:3" x14ac:dyDescent="0.35">
      <c r="A28" s="35" t="s">
        <v>32</v>
      </c>
      <c r="B28">
        <v>310445852</v>
      </c>
    </row>
    <row r="29" spans="1:3" x14ac:dyDescent="0.35">
      <c r="A29" s="35" t="s">
        <v>23</v>
      </c>
      <c r="B29">
        <v>8042520783</v>
      </c>
    </row>
    <row r="34" spans="1:8" ht="43.5" customHeight="1" x14ac:dyDescent="0.35">
      <c r="A34" s="65" t="s">
        <v>67</v>
      </c>
      <c r="B34" s="65"/>
      <c r="C34" s="65"/>
      <c r="D34" s="65"/>
    </row>
    <row r="35" spans="1:8" x14ac:dyDescent="0.35">
      <c r="A35" s="20" t="s">
        <v>36</v>
      </c>
      <c r="B35" s="2" t="s">
        <v>40</v>
      </c>
      <c r="C35" s="2"/>
      <c r="D35" s="2"/>
      <c r="E35" s="2"/>
      <c r="F35" s="2"/>
      <c r="G35" s="2"/>
      <c r="H35" s="2"/>
    </row>
    <row r="36" spans="1:8" x14ac:dyDescent="0.35">
      <c r="A36" s="2"/>
      <c r="B36" s="2"/>
      <c r="C36" s="2"/>
      <c r="D36" s="2"/>
      <c r="E36" s="2"/>
      <c r="F36" s="2"/>
      <c r="G36" s="2"/>
      <c r="H36" s="2"/>
    </row>
    <row r="37" spans="1:8" x14ac:dyDescent="0.35">
      <c r="A37" s="20" t="s">
        <v>22</v>
      </c>
      <c r="B37" s="2" t="s">
        <v>35</v>
      </c>
      <c r="C37" s="2" t="s">
        <v>33</v>
      </c>
      <c r="D37" s="2" t="s">
        <v>41</v>
      </c>
      <c r="E37" s="2" t="s">
        <v>45</v>
      </c>
      <c r="F37" s="2" t="s">
        <v>42</v>
      </c>
      <c r="G37" s="2" t="s">
        <v>43</v>
      </c>
      <c r="H37" s="2" t="s">
        <v>44</v>
      </c>
    </row>
    <row r="38" spans="1:8" x14ac:dyDescent="0.35">
      <c r="A38" s="21" t="s">
        <v>16</v>
      </c>
      <c r="B38" s="2">
        <v>19122420.96226415</v>
      </c>
      <c r="C38" s="2">
        <v>49.339622641509436</v>
      </c>
      <c r="D38" s="2">
        <f>ROUND(GETPIVOTDATA("Average of streams",$A$37,"artist","Ariana Grande"),0)</f>
        <v>19122421</v>
      </c>
      <c r="E38" s="2">
        <v>5</v>
      </c>
      <c r="F38" s="2">
        <f xml:space="preserve"> ROUND(GETPIVOTDATA("Average of week_of_year",$A$37,"artist","Ariana Grande"),1)</f>
        <v>49.3</v>
      </c>
      <c r="G38" s="2">
        <f xml:space="preserve"> AVERAGE(45, 46,47,48,49,50,51,52,53, 54)</f>
        <v>49.5</v>
      </c>
      <c r="H38" s="2" t="str" cm="1">
        <f t="array" ref="H38">_xlfn.IFS(F38 &lt;= 49, "Most streams",AND(F38 &gt; 49, F38 &lt;= 49.5), "Less streams",F38 &gt; 49.5, "Least streams")</f>
        <v>Less streams</v>
      </c>
    </row>
    <row r="39" spans="1:8" x14ac:dyDescent="0.35">
      <c r="A39" s="21" t="s">
        <v>20</v>
      </c>
      <c r="B39" s="2">
        <v>20997674.387755103</v>
      </c>
      <c r="C39" s="2">
        <v>49.387755102040813</v>
      </c>
      <c r="D39" s="2">
        <f>ROUND(GETPIVOTDATA("Average of streams",$A$37,"artist","Bobby Helms"),0)</f>
        <v>20997674</v>
      </c>
      <c r="E39" s="2">
        <v>4</v>
      </c>
      <c r="F39" s="2">
        <f xml:space="preserve"> ROUND(GETPIVOTDATA("Average of week_of_year",$A$37,"artist","Bobby Helms"),1)</f>
        <v>49.4</v>
      </c>
      <c r="G39" s="2">
        <f t="shared" ref="G39:G44" si="0" xml:space="preserve"> AVERAGE(45, 46,47,48,49,50,51,52,53, 54)</f>
        <v>49.5</v>
      </c>
      <c r="H39" s="2" t="str" cm="1">
        <f t="array" ref="H39">_xlfn.IFS(F39 &lt;= 49, "Most streams",AND(F39 &gt; 49, F39 &lt;= 49.5), "Less streams",F39 &gt; 49.5, "Least streams")</f>
        <v>Less streams</v>
      </c>
    </row>
    <row r="40" spans="1:8" x14ac:dyDescent="0.35">
      <c r="A40" s="21" t="s">
        <v>14</v>
      </c>
      <c r="B40" s="2">
        <v>21534870.518518519</v>
      </c>
      <c r="C40" s="2">
        <v>49.407407407407405</v>
      </c>
      <c r="D40" s="2">
        <f>ROUND(GETPIVOTDATA("Average of streams",$A$37,"artist","Brenda Lee"),0)</f>
        <v>21534871</v>
      </c>
      <c r="E40" s="2">
        <v>3</v>
      </c>
      <c r="F40" s="2">
        <f xml:space="preserve"> ROUND(GETPIVOTDATA("Average of week_of_year",$A$37,"artist","Brenda Lee"),1)</f>
        <v>49.4</v>
      </c>
      <c r="G40" s="2">
        <f t="shared" si="0"/>
        <v>49.5</v>
      </c>
      <c r="H40" s="2" t="str" cm="1">
        <f t="array" ref="H40">_xlfn.IFS(F40 &lt;= 49, "Most streams",AND(F40 &gt; 49, F40 &lt;= 49.5), "Less streams",F40 &gt; 49.5, "Least streams")</f>
        <v>Less streams</v>
      </c>
    </row>
    <row r="41" spans="1:8" x14ac:dyDescent="0.35">
      <c r="A41" s="21" t="s">
        <v>18</v>
      </c>
      <c r="B41" s="2">
        <v>16228080.17948718</v>
      </c>
      <c r="C41" s="2">
        <v>50.179487179487182</v>
      </c>
      <c r="D41" s="2">
        <f>ROUND(GETPIVOTDATA("Average of streams",$A$37,"artist","JosÃ© Feliciano"),0)</f>
        <v>16228080</v>
      </c>
      <c r="E41" s="2">
        <v>7</v>
      </c>
      <c r="F41" s="2">
        <f xml:space="preserve"> ROUND(GETPIVOTDATA("Average of week_of_year",$A$37,"artist","JosÃ© Feliciano"),1)</f>
        <v>50.2</v>
      </c>
      <c r="G41" s="2">
        <f t="shared" si="0"/>
        <v>49.5</v>
      </c>
      <c r="H41" s="2" t="str" cm="1">
        <f t="array" ref="H41">_xlfn.IFS(F41 &lt;= 49, "Most streams",AND(F41 &gt; 49, F41 &lt;= 49.5), "Less streams",F41 &gt; 49.5, "Least streams")</f>
        <v>Least streams</v>
      </c>
    </row>
    <row r="42" spans="1:8" x14ac:dyDescent="0.35">
      <c r="A42" s="21" t="s">
        <v>7</v>
      </c>
      <c r="B42" s="2">
        <v>25686978.579710145</v>
      </c>
      <c r="C42" s="2">
        <v>48.710144927536234</v>
      </c>
      <c r="D42" s="2">
        <f>ROUND(GETPIVOTDATA("Average of streams",$A$37,"artist","Mariah Carey"),0)</f>
        <v>25686979</v>
      </c>
      <c r="E42" s="2">
        <v>1</v>
      </c>
      <c r="F42" s="2">
        <f xml:space="preserve"> ROUND(GETPIVOTDATA("Average of week_of_year",$A$37,"artist","Mariah Carey"),1)</f>
        <v>48.7</v>
      </c>
      <c r="G42" s="2">
        <f t="shared" si="0"/>
        <v>49.5</v>
      </c>
      <c r="H42" s="2" t="str" cm="1">
        <f t="array" ref="H42">_xlfn.IFS(F42 &lt;= 49, "Most streams",AND(F42 &gt; 49, F42 &lt;= 49.5), "Less streams",F42 &gt; 49.5, "Least streams")</f>
        <v>Most streams</v>
      </c>
    </row>
    <row r="43" spans="1:8" x14ac:dyDescent="0.35">
      <c r="A43" s="21" t="s">
        <v>12</v>
      </c>
      <c r="B43" s="2">
        <v>18929561.204081632</v>
      </c>
      <c r="C43" s="2">
        <v>49.591836734693878</v>
      </c>
      <c r="D43" s="2">
        <f>ROUND(GETPIVOTDATA("Average of streams",$A$37,"artist","Michael BublÃ©"),0)</f>
        <v>18929561</v>
      </c>
      <c r="E43" s="2">
        <v>6</v>
      </c>
      <c r="F43" s="2">
        <f xml:space="preserve"> ROUND(GETPIVOTDATA("Average of week_of_year",$A$37,"artist","Michael BublÃ©"),1)</f>
        <v>49.6</v>
      </c>
      <c r="G43" s="2">
        <f t="shared" si="0"/>
        <v>49.5</v>
      </c>
      <c r="H43" s="2" t="str" cm="1">
        <f t="array" ref="H43">_xlfn.IFS(F43 &lt;= 49, "Most streams",AND(F43 &gt; 49, F43 &lt;= 49.5), "Less streams",F43 &gt; 49.5, "Least streams")</f>
        <v>Least streams</v>
      </c>
    </row>
    <row r="44" spans="1:8" x14ac:dyDescent="0.35">
      <c r="A44" s="21" t="s">
        <v>10</v>
      </c>
      <c r="B44" s="2">
        <v>23879655.095238097</v>
      </c>
      <c r="C44" s="2">
        <v>49.031746031746032</v>
      </c>
      <c r="D44" s="2">
        <f>ROUND(GETPIVOTDATA("Average of streams",$A$37,"artist","Wham!"),0)</f>
        <v>23879655</v>
      </c>
      <c r="E44" s="2">
        <v>2</v>
      </c>
      <c r="F44" s="2">
        <f xml:space="preserve"> ROUND(GETPIVOTDATA("Average of week_of_year",$A$37,"artist","Wham!"),1)</f>
        <v>49</v>
      </c>
      <c r="G44" s="2">
        <f t="shared" si="0"/>
        <v>49.5</v>
      </c>
      <c r="H44" s="2" t="str" cm="1">
        <f t="array" ref="H44">_xlfn.IFS(F44 &lt;= 49, "Most streams",AND(F44 &gt; 49, F44 &lt;= 49.5), "Less streams",F44 &gt; 49.5, "Least streams")</f>
        <v>Most streams</v>
      </c>
    </row>
    <row r="45" spans="1:8" x14ac:dyDescent="0.35">
      <c r="A45" s="21" t="s">
        <v>23</v>
      </c>
      <c r="B45" s="2">
        <v>21389682.933510639</v>
      </c>
      <c r="C45" s="2">
        <v>49.308510638297875</v>
      </c>
      <c r="D45" s="2"/>
      <c r="E45" s="2"/>
      <c r="F45" s="2"/>
      <c r="G45" s="2"/>
      <c r="H45" s="2"/>
    </row>
    <row r="57" spans="1:3" x14ac:dyDescent="0.35">
      <c r="A57" s="38" t="s">
        <v>66</v>
      </c>
      <c r="B57" s="36"/>
      <c r="C57" s="36"/>
    </row>
    <row r="58" spans="1:3" x14ac:dyDescent="0.35">
      <c r="A58" s="20" t="s">
        <v>22</v>
      </c>
      <c r="B58" s="26" t="s">
        <v>49</v>
      </c>
    </row>
    <row r="59" spans="1:3" x14ac:dyDescent="0.35">
      <c r="A59" s="21" t="s">
        <v>6</v>
      </c>
      <c r="B59" s="2" t="s">
        <v>46</v>
      </c>
    </row>
    <row r="60" spans="1:3" x14ac:dyDescent="0.35">
      <c r="A60" s="25" t="s">
        <v>7</v>
      </c>
      <c r="B60" s="2"/>
    </row>
    <row r="61" spans="1:3" x14ac:dyDescent="0.35">
      <c r="A61" s="21" t="s">
        <v>17</v>
      </c>
      <c r="B61" s="2" t="s">
        <v>47</v>
      </c>
    </row>
    <row r="62" spans="1:3" x14ac:dyDescent="0.35">
      <c r="A62" s="25" t="s">
        <v>18</v>
      </c>
      <c r="B62" s="2"/>
    </row>
    <row r="63" spans="1:3" x14ac:dyDescent="0.35">
      <c r="A63" s="21" t="s">
        <v>11</v>
      </c>
      <c r="B63" s="2" t="s">
        <v>48</v>
      </c>
    </row>
    <row r="64" spans="1:3" x14ac:dyDescent="0.35">
      <c r="A64" s="25" t="s">
        <v>12</v>
      </c>
      <c r="B64" s="2"/>
    </row>
    <row r="65" spans="1:2" x14ac:dyDescent="0.35">
      <c r="A65" s="21" t="s">
        <v>19</v>
      </c>
      <c r="B65" s="2" t="s">
        <v>47</v>
      </c>
    </row>
    <row r="66" spans="1:2" x14ac:dyDescent="0.35">
      <c r="A66" s="25" t="s">
        <v>20</v>
      </c>
      <c r="B66" s="2"/>
    </row>
    <row r="67" spans="1:2" x14ac:dyDescent="0.35">
      <c r="A67" s="21" t="s">
        <v>9</v>
      </c>
      <c r="B67" s="2" t="s">
        <v>46</v>
      </c>
    </row>
    <row r="68" spans="1:2" x14ac:dyDescent="0.35">
      <c r="A68" s="25" t="s">
        <v>10</v>
      </c>
      <c r="B68" s="2"/>
    </row>
    <row r="69" spans="1:2" x14ac:dyDescent="0.35">
      <c r="A69" s="21" t="s">
        <v>13</v>
      </c>
      <c r="B69" s="2" t="s">
        <v>47</v>
      </c>
    </row>
    <row r="70" spans="1:2" x14ac:dyDescent="0.35">
      <c r="A70" s="25" t="s">
        <v>14</v>
      </c>
      <c r="B70" s="2"/>
    </row>
    <row r="71" spans="1:2" x14ac:dyDescent="0.35">
      <c r="A71" s="21" t="s">
        <v>15</v>
      </c>
      <c r="B71" s="2" t="s">
        <v>48</v>
      </c>
    </row>
    <row r="72" spans="1:2" x14ac:dyDescent="0.35">
      <c r="A72" s="25" t="s">
        <v>16</v>
      </c>
      <c r="B72" s="2"/>
    </row>
    <row r="73" spans="1:2" x14ac:dyDescent="0.35">
      <c r="A73" s="21" t="s">
        <v>23</v>
      </c>
      <c r="B73" s="2"/>
    </row>
    <row r="75" spans="1:2" x14ac:dyDescent="0.35">
      <c r="A75" s="22" t="s">
        <v>22</v>
      </c>
      <c r="B75" s="22" t="s">
        <v>23</v>
      </c>
    </row>
    <row r="76" spans="1:2" x14ac:dyDescent="0.35">
      <c r="A76" s="29">
        <v>2017</v>
      </c>
      <c r="B76" s="26">
        <v>81671513</v>
      </c>
    </row>
    <row r="77" spans="1:2" x14ac:dyDescent="0.35">
      <c r="A77" s="29">
        <v>2018</v>
      </c>
      <c r="B77" s="26">
        <v>179158989</v>
      </c>
    </row>
    <row r="78" spans="1:2" x14ac:dyDescent="0.35">
      <c r="A78" s="29">
        <v>2019</v>
      </c>
      <c r="B78" s="26">
        <v>182684185</v>
      </c>
    </row>
    <row r="79" spans="1:2" x14ac:dyDescent="0.35">
      <c r="A79" s="29">
        <v>2020</v>
      </c>
      <c r="B79" s="26">
        <v>340213248</v>
      </c>
    </row>
    <row r="80" spans="1:2" x14ac:dyDescent="0.35">
      <c r="A80" s="29">
        <v>2021</v>
      </c>
      <c r="B80" s="26">
        <v>321952070</v>
      </c>
    </row>
    <row r="81" spans="1:2" x14ac:dyDescent="0.35">
      <c r="A81" s="29">
        <v>2022</v>
      </c>
      <c r="B81" s="26">
        <v>474404055</v>
      </c>
    </row>
    <row r="82" spans="1:2" x14ac:dyDescent="0.35">
      <c r="A82" s="29">
        <v>2023</v>
      </c>
      <c r="B82" s="26">
        <v>547526158</v>
      </c>
    </row>
    <row r="83" spans="1:2" x14ac:dyDescent="0.35">
      <c r="A83" s="29">
        <v>2024</v>
      </c>
      <c r="B83" s="26">
        <v>598421813</v>
      </c>
    </row>
    <row r="86" spans="1:2" x14ac:dyDescent="0.35">
      <c r="A86" s="22" t="s">
        <v>22</v>
      </c>
      <c r="B86" s="22" t="s">
        <v>23</v>
      </c>
    </row>
    <row r="87" spans="1:2" x14ac:dyDescent="0.35">
      <c r="A87" s="29">
        <v>2017</v>
      </c>
      <c r="B87" s="26">
        <v>191406759</v>
      </c>
    </row>
    <row r="88" spans="1:2" x14ac:dyDescent="0.35">
      <c r="A88" s="29">
        <v>2018</v>
      </c>
      <c r="B88" s="26">
        <v>247125254</v>
      </c>
    </row>
    <row r="89" spans="1:2" x14ac:dyDescent="0.35">
      <c r="A89" s="29">
        <v>2019</v>
      </c>
      <c r="B89" s="26">
        <v>268783508</v>
      </c>
    </row>
    <row r="90" spans="1:2" x14ac:dyDescent="0.35">
      <c r="A90" s="29">
        <v>2020</v>
      </c>
      <c r="B90" s="26">
        <v>394460877</v>
      </c>
    </row>
    <row r="91" spans="1:2" x14ac:dyDescent="0.35">
      <c r="A91" s="29">
        <v>2021</v>
      </c>
      <c r="B91" s="26">
        <v>353382843</v>
      </c>
    </row>
    <row r="92" spans="1:2" x14ac:dyDescent="0.35">
      <c r="A92" s="29">
        <v>2022</v>
      </c>
      <c r="B92" s="26">
        <v>460575957</v>
      </c>
    </row>
    <row r="93" spans="1:2" x14ac:dyDescent="0.35">
      <c r="A93" s="29">
        <v>2023</v>
      </c>
      <c r="B93" s="26">
        <v>587025138</v>
      </c>
    </row>
    <row r="94" spans="1:2" x14ac:dyDescent="0.35">
      <c r="A94" s="29">
        <v>2024</v>
      </c>
      <c r="B94" s="26">
        <v>622224624</v>
      </c>
    </row>
    <row r="97" spans="1:7" x14ac:dyDescent="0.35">
      <c r="A97" s="22" t="s">
        <v>22</v>
      </c>
      <c r="B97" s="22" t="s">
        <v>23</v>
      </c>
    </row>
    <row r="98" spans="1:7" x14ac:dyDescent="0.35">
      <c r="A98" s="29">
        <v>2017</v>
      </c>
      <c r="B98" s="26">
        <v>86383424</v>
      </c>
    </row>
    <row r="99" spans="1:7" x14ac:dyDescent="0.35">
      <c r="A99" s="29">
        <v>2018</v>
      </c>
      <c r="B99" s="26">
        <v>169198848</v>
      </c>
    </row>
    <row r="100" spans="1:7" x14ac:dyDescent="0.35">
      <c r="A100" s="29">
        <v>2019</v>
      </c>
      <c r="B100" s="26">
        <v>159305474</v>
      </c>
    </row>
    <row r="101" spans="1:7" x14ac:dyDescent="0.35">
      <c r="A101" s="29">
        <v>2020</v>
      </c>
      <c r="B101" s="26">
        <v>272886147</v>
      </c>
      <c r="F101" s="27"/>
      <c r="G101" s="28"/>
    </row>
    <row r="102" spans="1:7" x14ac:dyDescent="0.35">
      <c r="A102" s="29">
        <v>2021</v>
      </c>
      <c r="B102" s="26">
        <v>225934542</v>
      </c>
    </row>
    <row r="103" spans="1:7" x14ac:dyDescent="0.35">
      <c r="A103" s="29">
        <v>2022</v>
      </c>
      <c r="B103" s="26">
        <v>287833282</v>
      </c>
    </row>
    <row r="104" spans="1:7" x14ac:dyDescent="0.35">
      <c r="A104" s="29">
        <v>2023</v>
      </c>
      <c r="B104" s="26">
        <v>339668128</v>
      </c>
    </row>
    <row r="105" spans="1:7" x14ac:dyDescent="0.35">
      <c r="A105" s="29">
        <v>2024</v>
      </c>
      <c r="B105" s="26">
        <v>339848095</v>
      </c>
    </row>
  </sheetData>
  <mergeCells count="3">
    <mergeCell ref="A3:G3"/>
    <mergeCell ref="A1:I1"/>
    <mergeCell ref="A34:D34"/>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53D43-66EE-492C-9588-0D7560D8BAB0}">
  <sheetPr>
    <tabColor rgb="FFFF9900"/>
  </sheetPr>
  <dimension ref="A2:E15"/>
  <sheetViews>
    <sheetView topLeftCell="A28" workbookViewId="0">
      <selection activeCell="A6" sqref="A6"/>
    </sheetView>
  </sheetViews>
  <sheetFormatPr defaultRowHeight="14.5" x14ac:dyDescent="0.35"/>
  <cols>
    <col min="1" max="1" width="11.453125" customWidth="1"/>
    <col min="2" max="2" width="15.81640625" customWidth="1"/>
    <col min="3" max="3" width="17.54296875" customWidth="1"/>
    <col min="4" max="4" width="22.453125" customWidth="1"/>
    <col min="5" max="5" width="26.36328125" customWidth="1"/>
  </cols>
  <sheetData>
    <row r="2" spans="1:5" x14ac:dyDescent="0.35">
      <c r="A2" s="61" t="s">
        <v>69</v>
      </c>
      <c r="B2" s="61"/>
      <c r="C2" s="61"/>
      <c r="D2" s="61"/>
      <c r="E2" s="61"/>
    </row>
    <row r="4" spans="1:5" x14ac:dyDescent="0.35">
      <c r="A4" s="17" t="s">
        <v>22</v>
      </c>
      <c r="B4" s="3" t="s">
        <v>21</v>
      </c>
      <c r="C4" s="3" t="s">
        <v>37</v>
      </c>
      <c r="D4" s="3" t="s">
        <v>38</v>
      </c>
      <c r="E4" s="16" t="s">
        <v>39</v>
      </c>
    </row>
    <row r="5" spans="1:5" x14ac:dyDescent="0.35">
      <c r="A5" s="31">
        <v>43070</v>
      </c>
      <c r="B5" s="9">
        <v>359461696</v>
      </c>
      <c r="C5" s="2"/>
      <c r="D5" s="2"/>
      <c r="E5" s="19"/>
    </row>
    <row r="6" spans="1:5" x14ac:dyDescent="0.35">
      <c r="A6" s="31">
        <v>43435</v>
      </c>
      <c r="B6" s="9">
        <v>595483091</v>
      </c>
      <c r="C6" s="2"/>
      <c r="D6" s="2"/>
      <c r="E6" s="19"/>
    </row>
    <row r="7" spans="1:5" x14ac:dyDescent="0.35">
      <c r="A7" s="31">
        <v>43800</v>
      </c>
      <c r="B7" s="9">
        <v>610773167</v>
      </c>
      <c r="C7" s="2"/>
      <c r="D7" s="2"/>
      <c r="E7" s="19"/>
    </row>
    <row r="8" spans="1:5" x14ac:dyDescent="0.35">
      <c r="A8" s="31">
        <v>44166</v>
      </c>
      <c r="B8" s="9">
        <v>1007560272</v>
      </c>
      <c r="C8" s="2"/>
      <c r="D8" s="2"/>
      <c r="E8" s="19"/>
    </row>
    <row r="9" spans="1:5" x14ac:dyDescent="0.35">
      <c r="A9" s="31">
        <v>44531</v>
      </c>
      <c r="B9" s="9">
        <v>901269455</v>
      </c>
      <c r="C9" s="2"/>
      <c r="D9" s="2"/>
      <c r="E9" s="19"/>
    </row>
    <row r="10" spans="1:5" x14ac:dyDescent="0.35">
      <c r="A10" s="31">
        <v>44896</v>
      </c>
      <c r="B10" s="9">
        <v>1222813294</v>
      </c>
      <c r="C10" s="2"/>
      <c r="D10" s="2"/>
      <c r="E10" s="19"/>
    </row>
    <row r="11" spans="1:5" x14ac:dyDescent="0.35">
      <c r="A11" s="31">
        <v>45261</v>
      </c>
      <c r="B11" s="9">
        <v>1474219424</v>
      </c>
      <c r="C11" s="2"/>
      <c r="D11" s="2"/>
      <c r="E11" s="19"/>
    </row>
    <row r="12" spans="1:5" x14ac:dyDescent="0.35">
      <c r="A12" s="31">
        <v>45627</v>
      </c>
      <c r="B12" s="9">
        <v>1560494532</v>
      </c>
      <c r="C12" s="9">
        <v>1560494532</v>
      </c>
      <c r="D12" s="9">
        <v>1560494532</v>
      </c>
      <c r="E12" s="6">
        <v>1560494532</v>
      </c>
    </row>
    <row r="13" spans="1:5" x14ac:dyDescent="0.35">
      <c r="A13" s="31">
        <v>45992</v>
      </c>
      <c r="B13" s="32">
        <v>310445852</v>
      </c>
      <c r="C13" s="9">
        <f>_xlfn.FORECAST.ETS(A13,$B$5:$B$12,$A$5:$A$12,1,1)</f>
        <v>1743422023.1737916</v>
      </c>
      <c r="D13" s="9">
        <f>C13-_xlfn.FORECAST.ETS.CONFINT(A13,$B$5:$B$12,$A$5:$A$12,0.95,1,1)</f>
        <v>1576086665.2389953</v>
      </c>
      <c r="E13" s="6">
        <f>C13+_xlfn.FORECAST.ETS.CONFINT(A13,$B$5:$B$12,$A$5:$A$12,0.95,1,1)</f>
        <v>1910757381.108588</v>
      </c>
    </row>
    <row r="14" spans="1:5" x14ac:dyDescent="0.35">
      <c r="A14" s="33">
        <v>46357</v>
      </c>
      <c r="B14" s="4"/>
      <c r="C14" s="10">
        <f>_xlfn.FORECAST.ETS(A14,$B$5:$B$12,$A$5:$A$12,1,1)</f>
        <v>1916419388.3283267</v>
      </c>
      <c r="D14" s="10">
        <f>C14-_xlfn.FORECAST.ETS.CONFINT(A14,$B$5:$B$12,$A$5:$A$12,0.95,1,1)</f>
        <v>1749083277.3861139</v>
      </c>
      <c r="E14" s="7">
        <f>C14+_xlfn.FORECAST.ETS.CONFINT(A14,$B$5:$B$12,$A$5:$A$12,0.95,1,1)</f>
        <v>2083755499.2705395</v>
      </c>
    </row>
    <row r="15" spans="1:5" x14ac:dyDescent="0.35">
      <c r="C15" s="14"/>
    </row>
  </sheetData>
  <mergeCells count="1">
    <mergeCell ref="A2:E2"/>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6BAC-7CED-44CF-87A6-B3F371C59641}">
  <sheetPr>
    <tabColor rgb="FFCC3300"/>
  </sheetPr>
  <dimension ref="A1"/>
  <sheetViews>
    <sheetView topLeftCell="A2" workbookViewId="0">
      <selection activeCell="A27" sqref="A27:XFD27"/>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4FDD-AB6F-4F1B-B83F-9D7DCBF4DFE6}">
  <sheetPr>
    <tabColor rgb="FFC00000"/>
  </sheetPr>
  <dimension ref="A1"/>
  <sheetViews>
    <sheetView workbookViewId="0"/>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E830-D057-4B4A-A689-A86DF183815F}">
  <sheetPr>
    <tabColor rgb="FFE25B00"/>
  </sheetPr>
  <dimension ref="B1:AM87"/>
  <sheetViews>
    <sheetView showGridLines="0" tabSelected="1" zoomScale="61" zoomScaleNormal="77" workbookViewId="0">
      <selection activeCell="AA2" sqref="AA2"/>
    </sheetView>
  </sheetViews>
  <sheetFormatPr defaultRowHeight="14.5" x14ac:dyDescent="0.35"/>
  <cols>
    <col min="5" max="5" width="14.453125" customWidth="1"/>
    <col min="6" max="6" width="14" customWidth="1"/>
  </cols>
  <sheetData>
    <row r="1" spans="2:26" ht="15" thickBot="1" x14ac:dyDescent="0.4"/>
    <row r="2" spans="2:26" x14ac:dyDescent="0.35">
      <c r="B2" s="50" t="s">
        <v>68</v>
      </c>
      <c r="C2" s="51"/>
      <c r="D2" s="51"/>
      <c r="E2" s="51"/>
      <c r="F2" s="51"/>
      <c r="G2" s="51"/>
      <c r="H2" s="51"/>
      <c r="I2" s="51"/>
      <c r="J2" s="51"/>
      <c r="K2" s="51"/>
      <c r="L2" s="51"/>
      <c r="M2" s="51"/>
      <c r="N2" s="51"/>
      <c r="O2" s="51"/>
      <c r="P2" s="51"/>
      <c r="Q2" s="51"/>
      <c r="R2" s="51"/>
      <c r="S2" s="51"/>
      <c r="T2" s="51"/>
      <c r="U2" s="51"/>
      <c r="V2" s="51"/>
      <c r="W2" s="51"/>
      <c r="X2" s="46"/>
      <c r="Y2" s="46"/>
      <c r="Z2" s="47"/>
    </row>
    <row r="3" spans="2:26" x14ac:dyDescent="0.35">
      <c r="B3" s="52"/>
      <c r="C3" s="53"/>
      <c r="D3" s="53"/>
      <c r="E3" s="53"/>
      <c r="F3" s="53"/>
      <c r="G3" s="53"/>
      <c r="H3" s="53"/>
      <c r="I3" s="53"/>
      <c r="J3" s="53"/>
      <c r="K3" s="53"/>
      <c r="L3" s="53"/>
      <c r="M3" s="53"/>
      <c r="N3" s="53"/>
      <c r="O3" s="53"/>
      <c r="P3" s="53"/>
      <c r="Q3" s="53"/>
      <c r="R3" s="53"/>
      <c r="S3" s="53"/>
      <c r="T3" s="53"/>
      <c r="U3" s="53"/>
      <c r="V3" s="53"/>
      <c r="W3" s="53"/>
      <c r="X3" s="48"/>
      <c r="Y3" s="48"/>
      <c r="Z3" s="49"/>
    </row>
    <row r="4" spans="2:26" x14ac:dyDescent="0.35">
      <c r="B4" s="41"/>
      <c r="C4" s="39"/>
      <c r="D4" s="39"/>
      <c r="E4" s="39"/>
      <c r="F4" s="39"/>
      <c r="G4" s="39"/>
      <c r="H4" s="39"/>
      <c r="I4" s="39"/>
      <c r="J4" s="39"/>
      <c r="K4" s="39"/>
      <c r="L4" s="39"/>
      <c r="M4" s="39"/>
      <c r="N4" s="39"/>
      <c r="O4" s="39"/>
      <c r="P4" s="39"/>
      <c r="Q4" s="39"/>
      <c r="R4" s="39"/>
      <c r="S4" s="39"/>
      <c r="T4" s="39"/>
      <c r="U4" s="39"/>
      <c r="V4" s="39"/>
      <c r="W4" s="39"/>
      <c r="X4" s="39"/>
      <c r="Y4" s="39"/>
      <c r="Z4" s="40"/>
    </row>
    <row r="5" spans="2:26" x14ac:dyDescent="0.35">
      <c r="B5" s="41"/>
      <c r="C5" s="39"/>
      <c r="D5" s="39"/>
      <c r="E5" s="39"/>
      <c r="F5" s="39"/>
      <c r="G5" s="39"/>
      <c r="H5" s="39"/>
      <c r="I5" s="39"/>
      <c r="J5" s="39"/>
      <c r="K5" s="39"/>
      <c r="L5" s="39"/>
      <c r="M5" s="39"/>
      <c r="N5" s="39"/>
      <c r="O5" s="39"/>
      <c r="P5" s="39"/>
      <c r="Q5" s="39"/>
      <c r="R5" s="39"/>
      <c r="S5" s="39"/>
      <c r="T5" s="39"/>
      <c r="U5" s="39"/>
      <c r="V5" s="39"/>
      <c r="W5" s="39"/>
      <c r="X5" s="39"/>
      <c r="Y5" s="39"/>
      <c r="Z5" s="40"/>
    </row>
    <row r="6" spans="2:26" x14ac:dyDescent="0.35">
      <c r="B6" s="41"/>
      <c r="C6" s="39"/>
      <c r="D6" s="39"/>
      <c r="E6" s="39"/>
      <c r="F6" s="39"/>
      <c r="G6" s="39"/>
      <c r="H6" s="39"/>
      <c r="I6" s="39"/>
      <c r="J6" s="39"/>
      <c r="K6" s="39"/>
      <c r="L6" s="39"/>
      <c r="M6" s="39"/>
      <c r="N6" s="39"/>
      <c r="O6" s="39"/>
      <c r="P6" s="39"/>
      <c r="Q6" s="39"/>
      <c r="R6" s="39"/>
      <c r="S6" s="39"/>
      <c r="T6" s="39"/>
      <c r="U6" s="39"/>
      <c r="V6" s="39"/>
      <c r="W6" s="39"/>
      <c r="X6" s="39"/>
      <c r="Y6" s="39"/>
      <c r="Z6" s="40"/>
    </row>
    <row r="7" spans="2:26" x14ac:dyDescent="0.35">
      <c r="B7" s="41"/>
      <c r="C7" s="39"/>
      <c r="D7" s="39"/>
      <c r="E7" s="39"/>
      <c r="F7" s="39"/>
      <c r="G7" s="39"/>
      <c r="H7" s="39"/>
      <c r="I7" s="39"/>
      <c r="J7" s="39"/>
      <c r="K7" s="39"/>
      <c r="L7" s="39"/>
      <c r="M7" s="39"/>
      <c r="N7" s="39"/>
      <c r="O7" s="39"/>
      <c r="P7" s="39"/>
      <c r="Q7" s="39"/>
      <c r="R7" s="39"/>
      <c r="S7" s="39"/>
      <c r="T7" s="39"/>
      <c r="U7" s="39"/>
      <c r="V7" s="39"/>
      <c r="W7" s="39"/>
      <c r="X7" s="39"/>
      <c r="Y7" s="39"/>
      <c r="Z7" s="40"/>
    </row>
    <row r="8" spans="2:26" x14ac:dyDescent="0.35">
      <c r="B8" s="41"/>
      <c r="C8" s="39"/>
      <c r="D8" s="39"/>
      <c r="E8" s="39"/>
      <c r="F8" s="39"/>
      <c r="G8" s="39"/>
      <c r="H8" s="39"/>
      <c r="I8" s="39"/>
      <c r="J8" s="39"/>
      <c r="K8" s="39"/>
      <c r="L8" s="39"/>
      <c r="M8" s="39"/>
      <c r="N8" s="39"/>
      <c r="O8" s="39"/>
      <c r="P8" s="39"/>
      <c r="Q8" s="39"/>
      <c r="R8" s="39"/>
      <c r="S8" s="39"/>
      <c r="T8" s="39"/>
      <c r="U8" s="39"/>
      <c r="V8" s="39"/>
      <c r="W8" s="39"/>
      <c r="X8" s="39"/>
      <c r="Y8" s="39"/>
      <c r="Z8" s="40"/>
    </row>
    <row r="9" spans="2:26" x14ac:dyDescent="0.35">
      <c r="B9" s="41"/>
      <c r="C9" s="39"/>
      <c r="D9" s="39"/>
      <c r="E9" s="39"/>
      <c r="F9" s="39"/>
      <c r="G9" s="39"/>
      <c r="H9" s="39"/>
      <c r="I9" s="39"/>
      <c r="J9" s="39"/>
      <c r="K9" s="39"/>
      <c r="L9" s="39"/>
      <c r="M9" s="39"/>
      <c r="N9" s="39"/>
      <c r="O9" s="39"/>
      <c r="P9" s="39"/>
      <c r="Q9" s="39"/>
      <c r="R9" s="39"/>
      <c r="S9" s="39"/>
      <c r="T9" s="39"/>
      <c r="U9" s="39"/>
      <c r="V9" s="39"/>
      <c r="W9" s="39"/>
      <c r="X9" s="39"/>
      <c r="Y9" s="39"/>
      <c r="Z9" s="40"/>
    </row>
    <row r="10" spans="2:26" x14ac:dyDescent="0.35">
      <c r="B10" s="41"/>
      <c r="C10" s="39"/>
      <c r="D10" s="39"/>
      <c r="E10" s="39"/>
      <c r="F10" s="39"/>
      <c r="G10" s="39"/>
      <c r="H10" s="39"/>
      <c r="I10" s="39"/>
      <c r="J10" s="39"/>
      <c r="K10" s="39"/>
      <c r="L10" s="39"/>
      <c r="M10" s="39"/>
      <c r="N10" s="39"/>
      <c r="O10" s="39"/>
      <c r="P10" s="39"/>
      <c r="Q10" s="39"/>
      <c r="R10" s="39"/>
      <c r="S10" s="39"/>
      <c r="T10" s="39"/>
      <c r="U10" s="39"/>
      <c r="V10" s="39"/>
      <c r="W10" s="39"/>
      <c r="X10" s="39"/>
      <c r="Y10" s="39"/>
      <c r="Z10" s="40"/>
    </row>
    <row r="11" spans="2:26" x14ac:dyDescent="0.35">
      <c r="B11" s="41"/>
      <c r="C11" s="39"/>
      <c r="D11" s="39"/>
      <c r="E11" s="39"/>
      <c r="F11" s="39"/>
      <c r="G11" s="39"/>
      <c r="H11" s="39"/>
      <c r="I11" s="39"/>
      <c r="J11" s="39"/>
      <c r="K11" s="39"/>
      <c r="L11" s="39"/>
      <c r="M11" s="39"/>
      <c r="N11" s="39"/>
      <c r="O11" s="39"/>
      <c r="P11" s="39"/>
      <c r="Q11" s="39"/>
      <c r="R11" s="39"/>
      <c r="S11" s="39"/>
      <c r="T11" s="39"/>
      <c r="U11" s="39"/>
      <c r="V11" s="39"/>
      <c r="W11" s="39"/>
      <c r="X11" s="39"/>
      <c r="Y11" s="39"/>
      <c r="Z11" s="40"/>
    </row>
    <row r="12" spans="2:26" x14ac:dyDescent="0.35">
      <c r="B12" s="41"/>
      <c r="C12" s="39"/>
      <c r="D12" s="39"/>
      <c r="E12" s="39"/>
      <c r="F12" s="39"/>
      <c r="G12" s="39"/>
      <c r="H12" s="39"/>
      <c r="I12" s="39"/>
      <c r="J12" s="39"/>
      <c r="K12" s="39"/>
      <c r="L12" s="39"/>
      <c r="M12" s="39"/>
      <c r="N12" s="39"/>
      <c r="O12" s="39"/>
      <c r="P12" s="39"/>
      <c r="Q12" s="39"/>
      <c r="R12" s="39"/>
      <c r="S12" s="39"/>
      <c r="T12" s="39"/>
      <c r="U12" s="39"/>
      <c r="V12" s="39"/>
      <c r="W12" s="39"/>
      <c r="X12" s="39"/>
      <c r="Y12" s="39"/>
      <c r="Z12" s="40"/>
    </row>
    <row r="13" spans="2:26" x14ac:dyDescent="0.35">
      <c r="B13" s="41"/>
      <c r="C13" s="39"/>
      <c r="D13" s="39"/>
      <c r="E13" s="39"/>
      <c r="F13" s="39"/>
      <c r="G13" s="39"/>
      <c r="H13" s="39"/>
      <c r="I13" s="39"/>
      <c r="J13" s="39"/>
      <c r="K13" s="39"/>
      <c r="L13" s="39"/>
      <c r="M13" s="39"/>
      <c r="N13" s="39"/>
      <c r="O13" s="39"/>
      <c r="P13" s="39"/>
      <c r="Q13" s="39"/>
      <c r="R13" s="39"/>
      <c r="S13" s="39"/>
      <c r="T13" s="39"/>
      <c r="U13" s="39"/>
      <c r="V13" s="39"/>
      <c r="W13" s="39"/>
      <c r="X13" s="39"/>
      <c r="Y13" s="39"/>
      <c r="Z13" s="40"/>
    </row>
    <row r="14" spans="2:26" x14ac:dyDescent="0.35">
      <c r="B14" s="41"/>
      <c r="C14" s="39"/>
      <c r="D14" s="39"/>
      <c r="E14" s="39"/>
      <c r="F14" s="39"/>
      <c r="G14" s="39"/>
      <c r="H14" s="39"/>
      <c r="I14" s="39"/>
      <c r="J14" s="39"/>
      <c r="K14" s="39"/>
      <c r="L14" s="39"/>
      <c r="M14" s="39"/>
      <c r="N14" s="39"/>
      <c r="O14" s="39"/>
      <c r="P14" s="39"/>
      <c r="Q14" s="39"/>
      <c r="R14" s="39"/>
      <c r="S14" s="39"/>
      <c r="T14" s="39"/>
      <c r="U14" s="39"/>
      <c r="V14" s="39"/>
      <c r="W14" s="39"/>
      <c r="X14" s="39"/>
      <c r="Y14" s="39"/>
      <c r="Z14" s="40"/>
    </row>
    <row r="15" spans="2:26" x14ac:dyDescent="0.35">
      <c r="B15" s="41"/>
      <c r="C15" s="39"/>
      <c r="D15" s="39"/>
      <c r="E15" s="39"/>
      <c r="F15" s="39"/>
      <c r="G15" s="39"/>
      <c r="H15" s="39"/>
      <c r="I15" s="39"/>
      <c r="J15" s="39"/>
      <c r="K15" s="39"/>
      <c r="L15" s="39"/>
      <c r="M15" s="39"/>
      <c r="N15" s="39"/>
      <c r="O15" s="39"/>
      <c r="P15" s="39"/>
      <c r="Q15" s="39"/>
      <c r="R15" s="39"/>
      <c r="S15" s="39"/>
      <c r="T15" s="39"/>
      <c r="U15" s="39"/>
      <c r="V15" s="39"/>
      <c r="W15" s="39"/>
      <c r="X15" s="39"/>
      <c r="Y15" s="39"/>
      <c r="Z15" s="40"/>
    </row>
    <row r="16" spans="2:26" x14ac:dyDescent="0.35">
      <c r="B16" s="41"/>
      <c r="C16" s="39"/>
      <c r="D16" s="39"/>
      <c r="E16" s="39"/>
      <c r="F16" s="39"/>
      <c r="G16" s="39"/>
      <c r="H16" s="39"/>
      <c r="I16" s="39"/>
      <c r="J16" s="39"/>
      <c r="K16" s="39"/>
      <c r="L16" s="39"/>
      <c r="M16" s="39"/>
      <c r="N16" s="39"/>
      <c r="O16" s="39"/>
      <c r="P16" s="39"/>
      <c r="Q16" s="39"/>
      <c r="R16" s="39"/>
      <c r="S16" s="39"/>
      <c r="T16" s="39"/>
      <c r="U16" s="39"/>
      <c r="V16" s="39"/>
      <c r="W16" s="39"/>
      <c r="X16" s="39"/>
      <c r="Y16" s="39"/>
      <c r="Z16" s="40"/>
    </row>
    <row r="17" spans="2:26" x14ac:dyDescent="0.35">
      <c r="B17" s="41"/>
      <c r="C17" s="39"/>
      <c r="D17" s="39"/>
      <c r="E17" s="39"/>
      <c r="F17" s="39"/>
      <c r="G17" s="39"/>
      <c r="H17" s="39"/>
      <c r="I17" s="39"/>
      <c r="J17" s="39"/>
      <c r="K17" s="39"/>
      <c r="L17" s="39"/>
      <c r="M17" s="39"/>
      <c r="N17" s="39"/>
      <c r="O17" s="39"/>
      <c r="P17" s="39"/>
      <c r="Q17" s="39"/>
      <c r="R17" s="39"/>
      <c r="S17" s="39"/>
      <c r="T17" s="39"/>
      <c r="U17" s="39"/>
      <c r="V17" s="39"/>
      <c r="W17" s="39"/>
      <c r="X17" s="39"/>
      <c r="Y17" s="39"/>
      <c r="Z17" s="40"/>
    </row>
    <row r="18" spans="2:26" x14ac:dyDescent="0.35">
      <c r="B18" s="41"/>
      <c r="C18" s="39"/>
      <c r="D18" s="39"/>
      <c r="E18" s="39"/>
      <c r="F18" s="39"/>
      <c r="G18" s="39"/>
      <c r="H18" s="39"/>
      <c r="I18" s="39"/>
      <c r="J18" s="39"/>
      <c r="K18" s="39"/>
      <c r="L18" s="39"/>
      <c r="M18" s="39"/>
      <c r="N18" s="39"/>
      <c r="O18" s="39"/>
      <c r="P18" s="39"/>
      <c r="Q18" s="39"/>
      <c r="R18" s="39"/>
      <c r="S18" s="39"/>
      <c r="T18" s="39"/>
      <c r="U18" s="39"/>
      <c r="V18" s="39"/>
      <c r="W18" s="39"/>
      <c r="X18" s="39"/>
      <c r="Y18" s="39"/>
      <c r="Z18" s="40"/>
    </row>
    <row r="19" spans="2:26" x14ac:dyDescent="0.35">
      <c r="B19" s="41"/>
      <c r="C19" s="39"/>
      <c r="D19" s="39"/>
      <c r="E19" s="39"/>
      <c r="F19" s="39"/>
      <c r="G19" s="39"/>
      <c r="H19" s="39"/>
      <c r="I19" s="39"/>
      <c r="J19" s="39"/>
      <c r="K19" s="39"/>
      <c r="L19" s="39"/>
      <c r="M19" s="39"/>
      <c r="N19" s="39"/>
      <c r="O19" s="39"/>
      <c r="P19" s="39"/>
      <c r="Q19" s="39"/>
      <c r="R19" s="39"/>
      <c r="S19" s="39"/>
      <c r="T19" s="39"/>
      <c r="U19" s="39"/>
      <c r="V19" s="39"/>
      <c r="W19" s="39"/>
      <c r="X19" s="39"/>
      <c r="Y19" s="39"/>
      <c r="Z19" s="40"/>
    </row>
    <row r="20" spans="2:26" x14ac:dyDescent="0.35">
      <c r="B20" s="41"/>
      <c r="C20" s="39"/>
      <c r="D20" s="39"/>
      <c r="E20" s="39"/>
      <c r="F20" s="39"/>
      <c r="G20" s="39"/>
      <c r="H20" s="39"/>
      <c r="I20" s="39"/>
      <c r="J20" s="39"/>
      <c r="K20" s="39"/>
      <c r="L20" s="39"/>
      <c r="M20" s="39"/>
      <c r="N20" s="39"/>
      <c r="O20" s="39"/>
      <c r="P20" s="39"/>
      <c r="Q20" s="39"/>
      <c r="R20" s="39"/>
      <c r="S20" s="39"/>
      <c r="T20" s="39"/>
      <c r="U20" s="39"/>
      <c r="V20" s="39"/>
      <c r="W20" s="39"/>
      <c r="X20" s="39"/>
      <c r="Y20" s="39"/>
      <c r="Z20" s="40"/>
    </row>
    <row r="21" spans="2:26" x14ac:dyDescent="0.35">
      <c r="B21" s="41"/>
      <c r="C21" s="39"/>
      <c r="D21" s="39"/>
      <c r="E21" s="39"/>
      <c r="F21" s="39"/>
      <c r="G21" s="39"/>
      <c r="H21" s="39"/>
      <c r="I21" s="39"/>
      <c r="J21" s="39"/>
      <c r="K21" s="39"/>
      <c r="L21" s="39"/>
      <c r="M21" s="39"/>
      <c r="N21" s="39"/>
      <c r="O21" s="39"/>
      <c r="P21" s="39"/>
      <c r="Q21" s="39"/>
      <c r="R21" s="39"/>
      <c r="S21" s="39"/>
      <c r="T21" s="39"/>
      <c r="U21" s="39"/>
      <c r="V21" s="39"/>
      <c r="W21" s="39"/>
      <c r="X21" s="39"/>
      <c r="Y21" s="39"/>
      <c r="Z21" s="40"/>
    </row>
    <row r="22" spans="2:26" x14ac:dyDescent="0.35">
      <c r="B22" s="41"/>
      <c r="C22" s="39"/>
      <c r="D22" s="39"/>
      <c r="E22" s="39"/>
      <c r="F22" s="39"/>
      <c r="G22" s="39"/>
      <c r="H22" s="39"/>
      <c r="I22" s="39"/>
      <c r="J22" s="39"/>
      <c r="K22" s="39"/>
      <c r="L22" s="39"/>
      <c r="M22" s="39"/>
      <c r="N22" s="39"/>
      <c r="O22" s="39"/>
      <c r="P22" s="39"/>
      <c r="Q22" s="39"/>
      <c r="R22" s="39"/>
      <c r="S22" s="39"/>
      <c r="T22" s="39"/>
      <c r="U22" s="39"/>
      <c r="V22" s="39"/>
      <c r="W22" s="39"/>
      <c r="X22" s="39"/>
      <c r="Y22" s="39"/>
      <c r="Z22" s="40"/>
    </row>
    <row r="23" spans="2:26" x14ac:dyDescent="0.35">
      <c r="B23" s="41"/>
      <c r="C23" s="39"/>
      <c r="D23" s="39"/>
      <c r="E23" s="39"/>
      <c r="F23" s="39"/>
      <c r="G23" s="39"/>
      <c r="H23" s="39"/>
      <c r="I23" s="39"/>
      <c r="J23" s="39"/>
      <c r="K23" s="39"/>
      <c r="L23" s="39"/>
      <c r="M23" s="39"/>
      <c r="N23" s="39"/>
      <c r="O23" s="39"/>
      <c r="P23" s="39"/>
      <c r="Q23" s="39"/>
      <c r="R23" s="39"/>
      <c r="S23" s="39"/>
      <c r="T23" s="39"/>
      <c r="U23" s="39"/>
      <c r="V23" s="39"/>
      <c r="W23" s="39"/>
      <c r="X23" s="39"/>
      <c r="Y23" s="39"/>
      <c r="Z23" s="40"/>
    </row>
    <row r="24" spans="2:26" x14ac:dyDescent="0.35">
      <c r="B24" s="41"/>
      <c r="C24" s="39"/>
      <c r="D24" s="39"/>
      <c r="E24" s="39"/>
      <c r="F24" s="39"/>
      <c r="G24" s="39"/>
      <c r="H24" s="39"/>
      <c r="I24" s="39"/>
      <c r="J24" s="39"/>
      <c r="K24" s="39"/>
      <c r="L24" s="39"/>
      <c r="M24" s="39"/>
      <c r="N24" s="39"/>
      <c r="O24" s="39"/>
      <c r="P24" s="39"/>
      <c r="Q24" s="39"/>
      <c r="R24" s="39"/>
      <c r="S24" s="39"/>
      <c r="T24" s="39"/>
      <c r="U24" s="39"/>
      <c r="V24" s="39"/>
      <c r="W24" s="39"/>
      <c r="X24" s="39"/>
      <c r="Y24" s="39"/>
      <c r="Z24" s="40"/>
    </row>
    <row r="25" spans="2:26" x14ac:dyDescent="0.35">
      <c r="B25" s="41"/>
      <c r="C25" s="39"/>
      <c r="D25" s="39"/>
      <c r="E25" s="39"/>
      <c r="F25" s="39"/>
      <c r="G25" s="39"/>
      <c r="H25" s="39"/>
      <c r="I25" s="39"/>
      <c r="J25" s="39"/>
      <c r="K25" s="39"/>
      <c r="L25" s="39"/>
      <c r="M25" s="39"/>
      <c r="N25" s="39"/>
      <c r="O25" s="39"/>
      <c r="P25" s="39"/>
      <c r="Q25" s="39"/>
      <c r="R25" s="39"/>
      <c r="S25" s="39"/>
      <c r="T25" s="39"/>
      <c r="U25" s="39"/>
      <c r="V25" s="39"/>
      <c r="W25" s="39"/>
      <c r="X25" s="39"/>
      <c r="Y25" s="39"/>
      <c r="Z25" s="40"/>
    </row>
    <row r="26" spans="2:26" x14ac:dyDescent="0.35">
      <c r="B26" s="41"/>
      <c r="C26" s="39"/>
      <c r="D26" s="39"/>
      <c r="E26" s="39"/>
      <c r="F26" s="39"/>
      <c r="G26" s="39"/>
      <c r="H26" s="39"/>
      <c r="I26" s="39"/>
      <c r="J26" s="39"/>
      <c r="K26" s="39"/>
      <c r="L26" s="39"/>
      <c r="M26" s="39"/>
      <c r="N26" s="39"/>
      <c r="O26" s="39"/>
      <c r="P26" s="39"/>
      <c r="Q26" s="39"/>
      <c r="R26" s="39"/>
      <c r="S26" s="39"/>
      <c r="T26" s="39"/>
      <c r="U26" s="39"/>
      <c r="V26" s="39"/>
      <c r="W26" s="39"/>
      <c r="X26" s="39"/>
      <c r="Y26" s="39"/>
      <c r="Z26" s="40"/>
    </row>
    <row r="27" spans="2:26" x14ac:dyDescent="0.35">
      <c r="B27" s="41"/>
      <c r="C27" s="39"/>
      <c r="D27" s="39"/>
      <c r="E27" s="39"/>
      <c r="F27" s="39"/>
      <c r="G27" s="39"/>
      <c r="H27" s="39"/>
      <c r="I27" s="39"/>
      <c r="J27" s="39"/>
      <c r="K27" s="39"/>
      <c r="L27" s="39"/>
      <c r="M27" s="39"/>
      <c r="N27" s="39"/>
      <c r="O27" s="39"/>
      <c r="P27" s="39"/>
      <c r="Q27" s="39"/>
      <c r="R27" s="39"/>
      <c r="S27" s="39"/>
      <c r="T27" s="39"/>
      <c r="U27" s="39"/>
      <c r="V27" s="39"/>
      <c r="W27" s="39"/>
      <c r="X27" s="39"/>
      <c r="Y27" s="39"/>
      <c r="Z27" s="40"/>
    </row>
    <row r="28" spans="2:26" x14ac:dyDescent="0.35">
      <c r="B28" s="41"/>
      <c r="C28" s="39"/>
      <c r="D28" s="39"/>
      <c r="E28" s="39"/>
      <c r="F28" s="39"/>
      <c r="G28" s="39"/>
      <c r="H28" s="39"/>
      <c r="I28" s="39"/>
      <c r="J28" s="39"/>
      <c r="K28" s="39"/>
      <c r="L28" s="39"/>
      <c r="M28" s="39"/>
      <c r="N28" s="39"/>
      <c r="O28" s="39"/>
      <c r="P28" s="39"/>
      <c r="Q28" s="39"/>
      <c r="R28" s="39"/>
      <c r="S28" s="39"/>
      <c r="T28" s="39"/>
      <c r="U28" s="39"/>
      <c r="V28" s="39"/>
      <c r="W28" s="39"/>
      <c r="X28" s="39"/>
      <c r="Y28" s="39"/>
      <c r="Z28" s="40"/>
    </row>
    <row r="29" spans="2:26" x14ac:dyDescent="0.35">
      <c r="B29" s="41"/>
      <c r="C29" s="39"/>
      <c r="D29" s="39"/>
      <c r="E29" s="39"/>
      <c r="F29" s="39"/>
      <c r="G29" s="39"/>
      <c r="H29" s="39"/>
      <c r="I29" s="39"/>
      <c r="J29" s="39"/>
      <c r="K29" s="39"/>
      <c r="L29" s="39"/>
      <c r="M29" s="39"/>
      <c r="N29" s="39"/>
      <c r="O29" s="39"/>
      <c r="P29" s="39"/>
      <c r="Q29" s="39"/>
      <c r="R29" s="39"/>
      <c r="S29" s="39"/>
      <c r="T29" s="39"/>
      <c r="U29" s="39"/>
      <c r="V29" s="39"/>
      <c r="W29" s="39"/>
      <c r="X29" s="39"/>
      <c r="Y29" s="39"/>
      <c r="Z29" s="40"/>
    </row>
    <row r="30" spans="2:26" x14ac:dyDescent="0.35">
      <c r="B30" s="41"/>
      <c r="C30" s="39"/>
      <c r="D30" s="39"/>
      <c r="E30" s="39"/>
      <c r="F30" s="39"/>
      <c r="G30" s="39"/>
      <c r="H30" s="39"/>
      <c r="I30" s="39"/>
      <c r="J30" s="39"/>
      <c r="K30" s="39"/>
      <c r="L30" s="39"/>
      <c r="M30" s="39"/>
      <c r="N30" s="39"/>
      <c r="O30" s="39"/>
      <c r="P30" s="39"/>
      <c r="Q30" s="39"/>
      <c r="R30" s="39"/>
      <c r="S30" s="39"/>
      <c r="T30" s="39"/>
      <c r="U30" s="39"/>
      <c r="V30" s="39"/>
      <c r="W30" s="39"/>
      <c r="X30" s="39"/>
      <c r="Y30" s="39"/>
      <c r="Z30" s="40"/>
    </row>
    <row r="31" spans="2:26" x14ac:dyDescent="0.35">
      <c r="B31" s="41"/>
      <c r="C31" s="39"/>
      <c r="D31" s="39"/>
      <c r="E31" s="39"/>
      <c r="F31" s="39"/>
      <c r="G31" s="39"/>
      <c r="H31" s="39"/>
      <c r="I31" s="39"/>
      <c r="J31" s="39"/>
      <c r="K31" s="39"/>
      <c r="L31" s="39"/>
      <c r="M31" s="39"/>
      <c r="N31" s="39"/>
      <c r="O31" s="39"/>
      <c r="P31" s="39"/>
      <c r="Q31" s="39"/>
      <c r="R31" s="39"/>
      <c r="S31" s="39"/>
      <c r="T31" s="39"/>
      <c r="U31" s="39"/>
      <c r="V31" s="39"/>
      <c r="W31" s="39"/>
      <c r="X31" s="39"/>
      <c r="Y31" s="39"/>
      <c r="Z31" s="40"/>
    </row>
    <row r="32" spans="2:26" x14ac:dyDescent="0.35">
      <c r="B32" s="41"/>
      <c r="C32" s="39"/>
      <c r="D32" s="39"/>
      <c r="E32" s="39"/>
      <c r="F32" s="39"/>
      <c r="G32" s="39"/>
      <c r="H32" s="39"/>
      <c r="I32" s="39"/>
      <c r="J32" s="39"/>
      <c r="K32" s="39"/>
      <c r="L32" s="39"/>
      <c r="M32" s="39"/>
      <c r="N32" s="39"/>
      <c r="O32" s="39"/>
      <c r="P32" s="39"/>
      <c r="Q32" s="39"/>
      <c r="R32" s="39"/>
      <c r="S32" s="39"/>
      <c r="T32" s="39"/>
      <c r="U32" s="39"/>
      <c r="V32" s="39"/>
      <c r="W32" s="39"/>
      <c r="X32" s="39"/>
      <c r="Y32" s="39"/>
      <c r="Z32" s="40"/>
    </row>
    <row r="33" spans="2:39" x14ac:dyDescent="0.35">
      <c r="B33" s="41"/>
      <c r="C33" s="39"/>
      <c r="D33" s="39"/>
      <c r="E33" s="39"/>
      <c r="F33" s="39"/>
      <c r="G33" s="39"/>
      <c r="H33" s="39"/>
      <c r="I33" s="39"/>
      <c r="J33" s="39"/>
      <c r="K33" s="39"/>
      <c r="L33" s="39"/>
      <c r="M33" s="39"/>
      <c r="N33" s="39"/>
      <c r="O33" s="39"/>
      <c r="P33" s="39"/>
      <c r="Q33" s="39"/>
      <c r="R33" s="39"/>
      <c r="S33" s="39"/>
      <c r="T33" s="39"/>
      <c r="U33" s="39"/>
      <c r="V33" s="39"/>
      <c r="W33" s="39"/>
      <c r="X33" s="39"/>
      <c r="Y33" s="39"/>
      <c r="Z33" s="40"/>
    </row>
    <row r="34" spans="2:39" x14ac:dyDescent="0.35">
      <c r="B34" s="41"/>
      <c r="C34" s="39"/>
      <c r="D34" s="39"/>
      <c r="E34" s="39"/>
      <c r="F34" s="39"/>
      <c r="G34" s="39"/>
      <c r="H34" s="39"/>
      <c r="I34" s="39"/>
      <c r="J34" s="39"/>
      <c r="K34" s="39"/>
      <c r="L34" s="39"/>
      <c r="M34" s="39"/>
      <c r="N34" s="39"/>
      <c r="O34" s="39"/>
      <c r="P34" s="39"/>
      <c r="Q34" s="39"/>
      <c r="R34" s="39"/>
      <c r="S34" s="39"/>
      <c r="T34" s="39"/>
      <c r="U34" s="39"/>
      <c r="V34" s="39"/>
      <c r="W34" s="39"/>
      <c r="X34" s="39"/>
      <c r="Y34" s="39"/>
      <c r="Z34" s="40"/>
    </row>
    <row r="35" spans="2:39" x14ac:dyDescent="0.35">
      <c r="B35" s="41"/>
      <c r="C35" s="39"/>
      <c r="D35" s="39"/>
      <c r="E35" s="39"/>
      <c r="F35" s="39"/>
      <c r="G35" s="39"/>
      <c r="H35" s="39"/>
      <c r="I35" s="39"/>
      <c r="J35" s="39"/>
      <c r="K35" s="39"/>
      <c r="L35" s="39"/>
      <c r="M35" s="39"/>
      <c r="N35" s="39"/>
      <c r="O35" s="39"/>
      <c r="P35" s="39"/>
      <c r="Q35" s="39"/>
      <c r="R35" s="39"/>
      <c r="S35" s="39"/>
      <c r="T35" s="39"/>
      <c r="U35" s="39"/>
      <c r="V35" s="39"/>
      <c r="W35" s="39"/>
      <c r="X35" s="39"/>
      <c r="Y35" s="39"/>
      <c r="Z35" s="40"/>
    </row>
    <row r="36" spans="2:39" x14ac:dyDescent="0.35">
      <c r="B36" s="41"/>
      <c r="C36" s="39"/>
      <c r="D36" s="39"/>
      <c r="E36" s="39"/>
      <c r="F36" s="39"/>
      <c r="G36" s="39"/>
      <c r="H36" s="39"/>
      <c r="I36" s="39"/>
      <c r="J36" s="39"/>
      <c r="K36" s="39"/>
      <c r="L36" s="39"/>
      <c r="M36" s="39"/>
      <c r="N36" s="39"/>
      <c r="O36" s="39"/>
      <c r="P36" s="39"/>
      <c r="Q36" s="39"/>
      <c r="R36" s="39"/>
      <c r="S36" s="39"/>
      <c r="T36" s="39"/>
      <c r="U36" s="39"/>
      <c r="V36" s="39"/>
      <c r="W36" s="39"/>
      <c r="X36" s="39"/>
      <c r="Y36" s="39"/>
      <c r="Z36" s="40"/>
    </row>
    <row r="37" spans="2:39" x14ac:dyDescent="0.35">
      <c r="B37" s="41"/>
      <c r="C37" s="39"/>
      <c r="D37" s="39"/>
      <c r="E37" s="39"/>
      <c r="F37" s="39"/>
      <c r="G37" s="39"/>
      <c r="H37" s="39"/>
      <c r="I37" s="39"/>
      <c r="J37" s="39"/>
      <c r="K37" s="39"/>
      <c r="L37" s="39"/>
      <c r="M37" s="39"/>
      <c r="N37" s="39"/>
      <c r="O37" s="39"/>
      <c r="P37" s="39"/>
      <c r="Q37" s="39"/>
      <c r="R37" s="39"/>
      <c r="S37" s="39"/>
      <c r="T37" s="39"/>
      <c r="U37" s="39"/>
      <c r="V37" s="39"/>
      <c r="W37" s="39"/>
      <c r="X37" s="39"/>
      <c r="Y37" s="39"/>
      <c r="Z37" s="40"/>
    </row>
    <row r="38" spans="2:39" x14ac:dyDescent="0.35">
      <c r="B38" s="41"/>
      <c r="C38" s="39"/>
      <c r="D38" s="39"/>
      <c r="E38" s="39"/>
      <c r="F38" s="39"/>
      <c r="G38" s="39"/>
      <c r="H38" s="39"/>
      <c r="I38" s="39"/>
      <c r="J38" s="39"/>
      <c r="K38" s="39"/>
      <c r="L38" s="39"/>
      <c r="M38" s="39"/>
      <c r="N38" s="39"/>
      <c r="O38" s="39"/>
      <c r="P38" s="39"/>
      <c r="Q38" s="39"/>
      <c r="R38" s="39"/>
      <c r="S38" s="56"/>
      <c r="T38" s="54"/>
      <c r="U38" s="54"/>
      <c r="V38" s="54"/>
      <c r="W38" s="54"/>
      <c r="X38" s="54"/>
      <c r="Y38" s="54"/>
      <c r="Z38" s="55"/>
    </row>
    <row r="39" spans="2:39" x14ac:dyDescent="0.35">
      <c r="B39" s="41"/>
      <c r="C39" s="39"/>
      <c r="D39" s="39"/>
      <c r="E39" s="39"/>
      <c r="F39" s="39"/>
      <c r="G39" s="39"/>
      <c r="H39" s="39"/>
      <c r="I39" s="39"/>
      <c r="J39" s="39"/>
      <c r="K39" s="39"/>
      <c r="L39" s="39"/>
      <c r="M39" s="39"/>
      <c r="N39" s="39"/>
      <c r="O39" s="39"/>
      <c r="P39" s="39"/>
      <c r="Q39" s="39"/>
      <c r="R39" s="39"/>
      <c r="S39" s="54"/>
      <c r="T39" s="54"/>
      <c r="U39" s="54"/>
      <c r="V39" s="54"/>
      <c r="W39" s="54"/>
      <c r="X39" s="54"/>
      <c r="Y39" s="54"/>
      <c r="Z39" s="55"/>
    </row>
    <row r="40" spans="2:39" x14ac:dyDescent="0.35">
      <c r="B40" s="41"/>
      <c r="C40" s="39"/>
      <c r="D40" s="39"/>
      <c r="E40" s="39"/>
      <c r="F40" s="39"/>
      <c r="G40" s="39"/>
      <c r="H40" s="39"/>
      <c r="I40" s="39"/>
      <c r="J40" s="39"/>
      <c r="K40" s="39"/>
      <c r="L40" s="39"/>
      <c r="M40" s="39"/>
      <c r="N40" s="39"/>
      <c r="O40" s="39"/>
      <c r="P40" s="39"/>
      <c r="Q40" s="39"/>
      <c r="R40" s="39"/>
      <c r="S40" s="54"/>
      <c r="T40" s="54"/>
      <c r="U40" s="54"/>
      <c r="V40" s="54"/>
      <c r="W40" s="54"/>
      <c r="X40" s="54"/>
      <c r="Y40" s="54"/>
      <c r="Z40" s="55"/>
    </row>
    <row r="41" spans="2:39" x14ac:dyDescent="0.35">
      <c r="B41" s="41"/>
      <c r="C41" s="39"/>
      <c r="D41" s="39"/>
      <c r="E41" s="39"/>
      <c r="F41" s="39"/>
      <c r="G41" s="39"/>
      <c r="H41" s="39"/>
      <c r="I41" s="39"/>
      <c r="J41" s="39"/>
      <c r="K41" s="39"/>
      <c r="L41" s="39"/>
      <c r="M41" s="39"/>
      <c r="N41" s="39"/>
      <c r="O41" s="39"/>
      <c r="P41" s="39"/>
      <c r="Q41" s="39"/>
      <c r="R41" s="39"/>
      <c r="S41" s="54"/>
      <c r="T41" s="54"/>
      <c r="U41" s="54"/>
      <c r="V41" s="54"/>
      <c r="W41" s="54"/>
      <c r="X41" s="54"/>
      <c r="Y41" s="54"/>
      <c r="Z41" s="55"/>
      <c r="AM41" s="66"/>
    </row>
    <row r="42" spans="2:39" x14ac:dyDescent="0.35">
      <c r="B42" s="41"/>
      <c r="C42" s="39"/>
      <c r="D42" s="39"/>
      <c r="E42" s="39"/>
      <c r="F42" s="39"/>
      <c r="G42" s="39"/>
      <c r="H42" s="39"/>
      <c r="I42" s="39"/>
      <c r="J42" s="39"/>
      <c r="K42" s="39"/>
      <c r="L42" s="39"/>
      <c r="M42" s="39"/>
      <c r="N42" s="39"/>
      <c r="O42" s="39"/>
      <c r="P42" s="39"/>
      <c r="Q42" s="39"/>
      <c r="R42" s="39"/>
      <c r="S42" s="54"/>
      <c r="T42" s="54"/>
      <c r="U42" s="54"/>
      <c r="V42" s="54"/>
      <c r="W42" s="54"/>
      <c r="X42" s="54"/>
      <c r="Y42" s="54"/>
      <c r="Z42" s="55"/>
    </row>
    <row r="43" spans="2:39" x14ac:dyDescent="0.35">
      <c r="B43" s="41"/>
      <c r="C43" s="39"/>
      <c r="D43" s="39"/>
      <c r="E43" s="39"/>
      <c r="F43" s="39"/>
      <c r="G43" s="39"/>
      <c r="H43" s="39"/>
      <c r="I43" s="39"/>
      <c r="J43" s="39"/>
      <c r="K43" s="39"/>
      <c r="L43" s="39"/>
      <c r="M43" s="39"/>
      <c r="N43" s="39"/>
      <c r="O43" s="39"/>
      <c r="P43" s="39"/>
      <c r="Q43" s="39"/>
      <c r="R43" s="39"/>
      <c r="S43" s="39"/>
      <c r="T43" s="39"/>
      <c r="U43" s="39"/>
      <c r="V43" s="39"/>
      <c r="W43" s="39"/>
      <c r="X43" s="39"/>
      <c r="Y43" s="39"/>
      <c r="Z43" s="40"/>
    </row>
    <row r="44" spans="2:39" x14ac:dyDescent="0.35">
      <c r="B44" s="41"/>
      <c r="C44" s="39"/>
      <c r="D44" s="39"/>
      <c r="E44" s="39"/>
      <c r="F44" s="39"/>
      <c r="G44" s="39"/>
      <c r="H44" s="39"/>
      <c r="I44" s="39"/>
      <c r="J44" s="39"/>
      <c r="K44" s="39"/>
      <c r="L44" s="39"/>
      <c r="M44" s="39"/>
      <c r="N44" s="39"/>
      <c r="O44" s="39"/>
      <c r="P44" s="39"/>
      <c r="Q44" s="39"/>
      <c r="R44" s="39"/>
      <c r="S44" s="39"/>
      <c r="T44" s="39"/>
      <c r="U44" s="39"/>
      <c r="V44" s="39"/>
      <c r="W44" s="39"/>
      <c r="X44" s="39"/>
      <c r="Y44" s="39"/>
      <c r="Z44" s="40"/>
    </row>
    <row r="45" spans="2:39" x14ac:dyDescent="0.35">
      <c r="B45" s="41"/>
      <c r="C45" s="39"/>
      <c r="D45" s="39"/>
      <c r="E45" s="39"/>
      <c r="F45" s="39"/>
      <c r="G45" s="39"/>
      <c r="H45" s="39"/>
      <c r="I45" s="39"/>
      <c r="J45" s="39"/>
      <c r="K45" s="39"/>
      <c r="L45" s="39"/>
      <c r="M45" s="39"/>
      <c r="N45" s="39"/>
      <c r="O45" s="39"/>
      <c r="P45" s="39"/>
      <c r="Q45" s="39"/>
      <c r="R45" s="39"/>
      <c r="S45" s="39"/>
      <c r="T45" s="39"/>
      <c r="U45" s="39"/>
      <c r="V45" s="39"/>
      <c r="W45" s="39"/>
      <c r="X45" s="39"/>
      <c r="Y45" s="39"/>
      <c r="Z45" s="40"/>
    </row>
    <row r="46" spans="2:39" x14ac:dyDescent="0.35">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2:39" x14ac:dyDescent="0.35">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2:39" x14ac:dyDescent="0.35">
      <c r="B48" s="41"/>
      <c r="C48" s="39"/>
      <c r="D48" s="39"/>
      <c r="E48" s="39"/>
      <c r="F48" s="39"/>
      <c r="G48" s="39"/>
      <c r="H48" s="39"/>
      <c r="I48" s="39"/>
      <c r="J48" s="39"/>
      <c r="K48" s="39"/>
      <c r="L48" s="39"/>
      <c r="M48" s="39"/>
      <c r="N48" s="39"/>
      <c r="O48" s="39"/>
      <c r="P48" s="39"/>
      <c r="Q48" s="39"/>
      <c r="R48" s="39"/>
      <c r="S48" s="39"/>
      <c r="T48" s="39"/>
      <c r="U48" s="39"/>
      <c r="V48" s="39"/>
      <c r="W48" s="39"/>
      <c r="X48" s="39"/>
      <c r="Y48" s="39"/>
      <c r="Z48" s="40"/>
    </row>
    <row r="49" spans="2:26" x14ac:dyDescent="0.35">
      <c r="B49" s="41"/>
      <c r="C49" s="39"/>
      <c r="D49" s="39"/>
      <c r="E49" s="39"/>
      <c r="F49" s="39"/>
      <c r="G49" s="39"/>
      <c r="H49" s="39"/>
      <c r="I49" s="39"/>
      <c r="J49" s="39"/>
      <c r="K49" s="39"/>
      <c r="L49" s="39"/>
      <c r="M49" s="39"/>
      <c r="N49" s="39"/>
      <c r="O49" s="39"/>
      <c r="P49" s="39"/>
      <c r="Q49" s="39"/>
      <c r="R49" s="39"/>
      <c r="S49" s="39"/>
      <c r="T49" s="39"/>
      <c r="U49" s="39"/>
      <c r="V49" s="39"/>
      <c r="W49" s="39"/>
      <c r="X49" s="39"/>
      <c r="Y49" s="39"/>
      <c r="Z49" s="40"/>
    </row>
    <row r="50" spans="2:26" x14ac:dyDescent="0.35">
      <c r="B50" s="41"/>
      <c r="C50" s="39"/>
      <c r="D50" s="39"/>
      <c r="E50" s="39"/>
      <c r="F50" s="39"/>
      <c r="G50" s="39"/>
      <c r="H50" s="39"/>
      <c r="I50" s="39"/>
      <c r="J50" s="39"/>
      <c r="K50" s="39"/>
      <c r="L50" s="39"/>
      <c r="M50" s="39"/>
      <c r="N50" s="39"/>
      <c r="O50" s="39"/>
      <c r="P50" s="39"/>
      <c r="Q50" s="39"/>
      <c r="R50" s="39"/>
      <c r="S50" s="39"/>
      <c r="T50" s="39"/>
      <c r="U50" s="39"/>
      <c r="V50" s="39"/>
      <c r="W50" s="39"/>
      <c r="X50" s="39"/>
      <c r="Y50" s="39"/>
      <c r="Z50" s="40"/>
    </row>
    <row r="51" spans="2:26" x14ac:dyDescent="0.35">
      <c r="B51" s="41"/>
      <c r="C51" s="39"/>
      <c r="D51" s="39"/>
      <c r="E51" s="39"/>
      <c r="F51" s="39"/>
      <c r="G51" s="39"/>
      <c r="H51" s="39"/>
      <c r="I51" s="39"/>
      <c r="J51" s="39"/>
      <c r="K51" s="39"/>
      <c r="L51" s="39"/>
      <c r="M51" s="39"/>
      <c r="N51" s="39"/>
      <c r="O51" s="39"/>
      <c r="P51" s="39"/>
      <c r="Q51" s="39"/>
      <c r="R51" s="39"/>
      <c r="S51" s="39"/>
      <c r="T51" s="39"/>
      <c r="U51" s="39"/>
      <c r="V51" s="39"/>
      <c r="W51" s="39"/>
      <c r="X51" s="39"/>
      <c r="Y51" s="39"/>
      <c r="Z51" s="40"/>
    </row>
    <row r="52" spans="2:26" x14ac:dyDescent="0.35">
      <c r="B52" s="41"/>
      <c r="C52" s="39"/>
      <c r="D52" s="39"/>
      <c r="E52" s="39"/>
      <c r="F52" s="39"/>
      <c r="G52" s="39"/>
      <c r="H52" s="39"/>
      <c r="I52" s="39"/>
      <c r="J52" s="39"/>
      <c r="K52" s="39"/>
      <c r="L52" s="39"/>
      <c r="M52" s="39"/>
      <c r="N52" s="39"/>
      <c r="O52" s="39"/>
      <c r="P52" s="39"/>
      <c r="Q52" s="39"/>
      <c r="R52" s="39"/>
      <c r="S52" s="39"/>
      <c r="T52" s="39"/>
      <c r="U52" s="39"/>
      <c r="V52" s="39"/>
      <c r="W52" s="39"/>
      <c r="X52" s="39"/>
      <c r="Y52" s="39"/>
      <c r="Z52" s="40"/>
    </row>
    <row r="53" spans="2:26" x14ac:dyDescent="0.35">
      <c r="B53" s="41"/>
      <c r="C53" s="39"/>
      <c r="D53" s="39"/>
      <c r="E53" s="39"/>
      <c r="F53" s="39"/>
      <c r="G53" s="39"/>
      <c r="H53" s="39"/>
      <c r="I53" s="39"/>
      <c r="J53" s="39"/>
      <c r="K53" s="39"/>
      <c r="L53" s="39"/>
      <c r="M53" s="39"/>
      <c r="N53" s="39"/>
      <c r="O53" s="39"/>
      <c r="P53" s="39"/>
      <c r="Q53" s="39"/>
      <c r="R53" s="39"/>
      <c r="S53" s="39"/>
      <c r="T53" s="39"/>
      <c r="U53" s="39"/>
      <c r="V53" s="39"/>
      <c r="W53" s="39"/>
      <c r="X53" s="39"/>
      <c r="Y53" s="39"/>
      <c r="Z53" s="40"/>
    </row>
    <row r="54" spans="2:26" x14ac:dyDescent="0.35">
      <c r="B54" s="41"/>
      <c r="C54" s="39"/>
      <c r="D54" s="39"/>
      <c r="E54" s="39"/>
      <c r="F54" s="39"/>
      <c r="G54" s="39"/>
      <c r="H54" s="39"/>
      <c r="I54" s="39"/>
      <c r="J54" s="39"/>
      <c r="K54" s="39"/>
      <c r="L54" s="39"/>
      <c r="M54" s="39"/>
      <c r="N54" s="39"/>
      <c r="O54" s="39"/>
      <c r="P54" s="39"/>
      <c r="Q54" s="39"/>
      <c r="R54" s="39"/>
      <c r="S54" s="39"/>
      <c r="T54" s="39"/>
      <c r="U54" s="39"/>
      <c r="V54" s="39"/>
      <c r="W54" s="39"/>
      <c r="X54" s="39"/>
      <c r="Y54" s="39"/>
      <c r="Z54" s="40"/>
    </row>
    <row r="55" spans="2:26" x14ac:dyDescent="0.35">
      <c r="B55" s="41"/>
      <c r="C55" s="39"/>
      <c r="D55" s="39"/>
      <c r="E55" s="39"/>
      <c r="F55" s="39"/>
      <c r="G55" s="39"/>
      <c r="H55" s="39"/>
      <c r="I55" s="39"/>
      <c r="J55" s="39"/>
      <c r="K55" s="39"/>
      <c r="L55" s="39"/>
      <c r="M55" s="39"/>
      <c r="N55" s="39"/>
      <c r="O55" s="39"/>
      <c r="P55" s="39"/>
      <c r="Q55" s="39"/>
      <c r="R55" s="39"/>
      <c r="S55" s="39"/>
      <c r="T55" s="39"/>
      <c r="U55" s="39"/>
      <c r="V55" s="39"/>
      <c r="W55" s="39"/>
      <c r="X55" s="39"/>
      <c r="Y55" s="39"/>
      <c r="Z55" s="40"/>
    </row>
    <row r="56" spans="2:26" x14ac:dyDescent="0.35">
      <c r="B56" s="41"/>
      <c r="C56" s="39"/>
      <c r="D56" s="39"/>
      <c r="E56" s="39"/>
      <c r="F56" s="39"/>
      <c r="G56" s="39"/>
      <c r="H56" s="39"/>
      <c r="I56" s="39"/>
      <c r="J56" s="39"/>
      <c r="K56" s="39"/>
      <c r="L56" s="39"/>
      <c r="M56" s="39"/>
      <c r="N56" s="39"/>
      <c r="O56" s="39"/>
      <c r="P56" s="39"/>
      <c r="Q56" s="39"/>
      <c r="R56" s="39"/>
      <c r="S56" s="39"/>
      <c r="T56" s="39"/>
      <c r="U56" s="39"/>
      <c r="V56" s="39"/>
      <c r="W56" s="39"/>
      <c r="X56" s="39"/>
      <c r="Y56" s="39"/>
      <c r="Z56" s="40"/>
    </row>
    <row r="57" spans="2:26" x14ac:dyDescent="0.35">
      <c r="B57" s="57" t="s">
        <v>63</v>
      </c>
      <c r="C57" s="58"/>
      <c r="D57" s="58"/>
      <c r="E57" s="58"/>
      <c r="F57" s="58"/>
      <c r="G57" s="58"/>
      <c r="H57" s="58"/>
      <c r="I57" s="58"/>
      <c r="J57" s="58"/>
      <c r="K57" s="58"/>
      <c r="L57" s="58"/>
      <c r="M57" s="58"/>
      <c r="N57" s="58"/>
      <c r="O57" s="58"/>
      <c r="P57" s="58"/>
      <c r="Q57" s="58"/>
      <c r="R57" s="58"/>
      <c r="S57" s="58"/>
      <c r="T57" s="58"/>
      <c r="U57" s="58"/>
      <c r="V57" s="58"/>
      <c r="W57" s="58"/>
      <c r="X57" s="58"/>
      <c r="Y57" s="58"/>
      <c r="Z57" s="59"/>
    </row>
    <row r="58" spans="2:26" x14ac:dyDescent="0.35">
      <c r="B58" s="60"/>
      <c r="C58" s="58"/>
      <c r="D58" s="58"/>
      <c r="E58" s="58"/>
      <c r="F58" s="58"/>
      <c r="G58" s="58"/>
      <c r="H58" s="58"/>
      <c r="I58" s="58"/>
      <c r="J58" s="58"/>
      <c r="K58" s="58"/>
      <c r="L58" s="58"/>
      <c r="M58" s="58"/>
      <c r="N58" s="58"/>
      <c r="O58" s="58"/>
      <c r="P58" s="58"/>
      <c r="Q58" s="58"/>
      <c r="R58" s="58"/>
      <c r="S58" s="58"/>
      <c r="T58" s="58"/>
      <c r="U58" s="58"/>
      <c r="V58" s="58"/>
      <c r="W58" s="58"/>
      <c r="X58" s="58"/>
      <c r="Y58" s="58"/>
      <c r="Z58" s="59"/>
    </row>
    <row r="59" spans="2:26" x14ac:dyDescent="0.35">
      <c r="B59" s="41"/>
      <c r="C59" s="39"/>
      <c r="D59" s="39"/>
      <c r="E59" s="39"/>
      <c r="F59" s="39"/>
      <c r="G59" s="39"/>
      <c r="H59" s="39"/>
      <c r="I59" s="39"/>
      <c r="J59" s="39"/>
      <c r="K59" s="39"/>
      <c r="L59" s="39"/>
      <c r="M59" s="39"/>
      <c r="N59" s="39"/>
      <c r="O59" s="39"/>
      <c r="P59" s="39"/>
      <c r="Q59" s="39"/>
      <c r="R59" s="39"/>
      <c r="S59" s="39"/>
      <c r="T59" s="39"/>
      <c r="U59" s="39"/>
      <c r="V59" s="39"/>
      <c r="W59" s="39"/>
      <c r="X59" s="39"/>
      <c r="Y59" s="39"/>
      <c r="Z59" s="40"/>
    </row>
    <row r="60" spans="2:26" x14ac:dyDescent="0.35">
      <c r="B60" s="41"/>
      <c r="C60" s="39"/>
      <c r="D60" s="39"/>
      <c r="E60" s="39"/>
      <c r="F60" s="39"/>
      <c r="G60" s="39"/>
      <c r="H60" s="39"/>
      <c r="I60" s="39"/>
      <c r="J60" s="39"/>
      <c r="K60" s="39"/>
      <c r="L60" s="39"/>
      <c r="M60" s="39"/>
      <c r="N60" s="39"/>
      <c r="O60" s="39"/>
      <c r="P60" s="39"/>
      <c r="Q60" s="39"/>
      <c r="R60" s="39"/>
      <c r="S60" s="39"/>
      <c r="T60" s="39"/>
      <c r="U60" s="39"/>
      <c r="V60" s="39"/>
      <c r="W60" s="39"/>
      <c r="X60" s="39"/>
      <c r="Y60" s="39"/>
      <c r="Z60" s="40"/>
    </row>
    <row r="61" spans="2:26" x14ac:dyDescent="0.35">
      <c r="B61" s="41"/>
      <c r="C61" s="39"/>
      <c r="D61" s="39"/>
      <c r="E61" s="39"/>
      <c r="F61" s="39"/>
      <c r="G61" s="39"/>
      <c r="H61" s="39"/>
      <c r="I61" s="39"/>
      <c r="J61" s="39"/>
      <c r="K61" s="39"/>
      <c r="L61" s="39"/>
      <c r="M61" s="39"/>
      <c r="N61" s="39"/>
      <c r="O61" s="39"/>
      <c r="P61" s="39"/>
      <c r="Q61" s="39"/>
      <c r="R61" s="39"/>
      <c r="S61" s="39"/>
      <c r="T61" s="39"/>
      <c r="U61" s="39"/>
      <c r="V61" s="39"/>
      <c r="W61" s="39"/>
      <c r="X61" s="39"/>
      <c r="Y61" s="39"/>
      <c r="Z61" s="40"/>
    </row>
    <row r="62" spans="2:26" x14ac:dyDescent="0.35">
      <c r="B62" s="41"/>
      <c r="C62" s="39"/>
      <c r="D62" s="39"/>
      <c r="E62" s="39"/>
      <c r="F62" s="39"/>
      <c r="G62" s="39"/>
      <c r="H62" s="39"/>
      <c r="I62" s="39"/>
      <c r="J62" s="39"/>
      <c r="K62" s="39"/>
      <c r="L62" s="39"/>
      <c r="M62" s="39"/>
      <c r="N62" s="39"/>
      <c r="O62" s="39"/>
      <c r="P62" s="39"/>
      <c r="Q62" s="39"/>
      <c r="R62" s="39"/>
      <c r="S62" s="39"/>
      <c r="T62" s="39"/>
      <c r="U62" s="39"/>
      <c r="V62" s="39"/>
      <c r="W62" s="39"/>
      <c r="X62" s="39"/>
      <c r="Y62" s="39"/>
      <c r="Z62" s="40"/>
    </row>
    <row r="63" spans="2:26" x14ac:dyDescent="0.35">
      <c r="B63" s="41"/>
      <c r="C63" s="39"/>
      <c r="D63" s="39"/>
      <c r="E63" s="39"/>
      <c r="F63" s="39"/>
      <c r="G63" s="39"/>
      <c r="H63" s="39"/>
      <c r="I63" s="39"/>
      <c r="J63" s="39"/>
      <c r="K63" s="39"/>
      <c r="L63" s="39"/>
      <c r="M63" s="39"/>
      <c r="N63" s="39"/>
      <c r="O63" s="39"/>
      <c r="P63" s="39"/>
      <c r="Q63" s="39"/>
      <c r="R63" s="39"/>
      <c r="S63" s="39"/>
      <c r="T63" s="39"/>
      <c r="U63" s="39"/>
      <c r="V63" s="39"/>
      <c r="W63" s="39"/>
      <c r="X63" s="39"/>
      <c r="Y63" s="39"/>
      <c r="Z63" s="40"/>
    </row>
    <row r="64" spans="2:26" x14ac:dyDescent="0.35">
      <c r="B64" s="41"/>
      <c r="C64" s="39"/>
      <c r="D64" s="39"/>
      <c r="E64" s="39"/>
      <c r="F64" s="39"/>
      <c r="G64" s="39"/>
      <c r="H64" s="39"/>
      <c r="I64" s="39"/>
      <c r="J64" s="39"/>
      <c r="K64" s="39"/>
      <c r="L64" s="39"/>
      <c r="M64" s="39"/>
      <c r="N64" s="39"/>
      <c r="O64" s="39"/>
      <c r="P64" s="39"/>
      <c r="Q64" s="39"/>
      <c r="R64" s="39"/>
      <c r="S64" s="39"/>
      <c r="T64" s="39"/>
      <c r="U64" s="39"/>
      <c r="V64" s="39"/>
      <c r="W64" s="39"/>
      <c r="X64" s="39"/>
      <c r="Y64" s="39"/>
      <c r="Z64" s="40"/>
    </row>
    <row r="65" spans="2:26" x14ac:dyDescent="0.35">
      <c r="B65" s="41"/>
      <c r="C65" s="39"/>
      <c r="D65" s="39"/>
      <c r="E65" s="39"/>
      <c r="F65" s="39"/>
      <c r="G65" s="39"/>
      <c r="H65" s="39"/>
      <c r="I65" s="39"/>
      <c r="J65" s="39"/>
      <c r="K65" s="39"/>
      <c r="L65" s="39"/>
      <c r="M65" s="39"/>
      <c r="N65" s="39"/>
      <c r="O65" s="39"/>
      <c r="P65" s="39"/>
      <c r="Q65" s="39"/>
      <c r="R65" s="39"/>
      <c r="S65" s="39"/>
      <c r="T65" s="39"/>
      <c r="U65" s="39"/>
      <c r="V65" s="39"/>
      <c r="W65" s="39"/>
      <c r="X65" s="39"/>
      <c r="Y65" s="39"/>
      <c r="Z65" s="40"/>
    </row>
    <row r="66" spans="2:26" x14ac:dyDescent="0.35">
      <c r="B66" s="41"/>
      <c r="C66" s="39"/>
      <c r="D66" s="39"/>
      <c r="E66" s="39"/>
      <c r="F66" s="39"/>
      <c r="G66" s="39"/>
      <c r="H66" s="39"/>
      <c r="I66" s="39"/>
      <c r="J66" s="39"/>
      <c r="K66" s="39"/>
      <c r="L66" s="39"/>
      <c r="M66" s="39"/>
      <c r="N66" s="39"/>
      <c r="O66" s="39"/>
      <c r="P66" s="39"/>
      <c r="Q66" s="39"/>
      <c r="R66" s="39"/>
      <c r="S66" s="39"/>
      <c r="T66" s="39"/>
      <c r="U66" s="39"/>
      <c r="V66" s="39"/>
      <c r="W66" s="39"/>
      <c r="X66" s="39"/>
      <c r="Y66" s="39"/>
      <c r="Z66" s="40"/>
    </row>
    <row r="67" spans="2:26" x14ac:dyDescent="0.35">
      <c r="B67" s="41"/>
      <c r="C67" s="39"/>
      <c r="D67" s="39"/>
      <c r="E67" s="39"/>
      <c r="F67" s="39"/>
      <c r="G67" s="39"/>
      <c r="H67" s="39"/>
      <c r="I67" s="39"/>
      <c r="J67" s="39"/>
      <c r="K67" s="39"/>
      <c r="L67" s="39"/>
      <c r="M67" s="39"/>
      <c r="N67" s="39"/>
      <c r="O67" s="39"/>
      <c r="P67" s="39"/>
      <c r="Q67" s="39"/>
      <c r="R67" s="39"/>
      <c r="S67" s="39"/>
      <c r="T67" s="39"/>
      <c r="U67" s="39"/>
      <c r="V67" s="39"/>
      <c r="W67" s="39"/>
      <c r="X67" s="39"/>
      <c r="Y67" s="39"/>
      <c r="Z67" s="40"/>
    </row>
    <row r="68" spans="2:26" x14ac:dyDescent="0.35">
      <c r="B68" s="41"/>
      <c r="C68" s="39"/>
      <c r="D68" s="39"/>
      <c r="E68" s="39"/>
      <c r="F68" s="39"/>
      <c r="G68" s="39"/>
      <c r="H68" s="39"/>
      <c r="I68" s="39"/>
      <c r="J68" s="39"/>
      <c r="K68" s="39"/>
      <c r="L68" s="39"/>
      <c r="M68" s="39"/>
      <c r="N68" s="39"/>
      <c r="O68" s="39"/>
      <c r="P68" s="39"/>
      <c r="Q68" s="39"/>
      <c r="R68" s="39"/>
      <c r="S68" s="39"/>
      <c r="T68" s="39"/>
      <c r="U68" s="39"/>
      <c r="V68" s="39"/>
      <c r="W68" s="39"/>
      <c r="X68" s="39"/>
      <c r="Y68" s="39"/>
      <c r="Z68" s="40"/>
    </row>
    <row r="69" spans="2:26" x14ac:dyDescent="0.35">
      <c r="B69" s="41"/>
      <c r="C69" s="39"/>
      <c r="D69" s="39"/>
      <c r="E69" s="39"/>
      <c r="F69" s="39"/>
      <c r="G69" s="39"/>
      <c r="H69" s="39"/>
      <c r="I69" s="39"/>
      <c r="J69" s="39"/>
      <c r="K69" s="39"/>
      <c r="L69" s="39"/>
      <c r="M69" s="39"/>
      <c r="N69" s="39"/>
      <c r="O69" s="39"/>
      <c r="P69" s="39"/>
      <c r="Q69" s="39"/>
      <c r="R69" s="39"/>
      <c r="S69" s="39"/>
      <c r="T69" s="39"/>
      <c r="U69" s="39"/>
      <c r="V69" s="39"/>
      <c r="W69" s="39"/>
      <c r="X69" s="39"/>
      <c r="Y69" s="39"/>
      <c r="Z69" s="40"/>
    </row>
    <row r="70" spans="2:26" x14ac:dyDescent="0.35">
      <c r="B70" s="41"/>
      <c r="C70" s="39"/>
      <c r="D70" s="39"/>
      <c r="E70" s="39"/>
      <c r="F70" s="39"/>
      <c r="G70" s="39"/>
      <c r="H70" s="39"/>
      <c r="I70" s="39"/>
      <c r="J70" s="39"/>
      <c r="K70" s="39"/>
      <c r="L70" s="39"/>
      <c r="M70" s="39"/>
      <c r="N70" s="39"/>
      <c r="O70" s="39"/>
      <c r="P70" s="39"/>
      <c r="Q70" s="39"/>
      <c r="R70" s="39"/>
      <c r="S70" s="39"/>
      <c r="T70" s="39"/>
      <c r="U70" s="39"/>
      <c r="V70" s="39"/>
      <c r="W70" s="39"/>
      <c r="X70" s="39"/>
      <c r="Y70" s="39"/>
      <c r="Z70" s="40"/>
    </row>
    <row r="71" spans="2:26" x14ac:dyDescent="0.35">
      <c r="B71" s="41"/>
      <c r="C71" s="39"/>
      <c r="D71" s="39"/>
      <c r="E71" s="39"/>
      <c r="F71" s="39"/>
      <c r="G71" s="39"/>
      <c r="H71" s="39"/>
      <c r="I71" s="39"/>
      <c r="J71" s="39"/>
      <c r="K71" s="39"/>
      <c r="L71" s="39"/>
      <c r="M71" s="39"/>
      <c r="N71" s="39"/>
      <c r="O71" s="39"/>
      <c r="P71" s="39"/>
      <c r="Q71" s="39"/>
      <c r="R71" s="39"/>
      <c r="S71" s="39"/>
      <c r="T71" s="39"/>
      <c r="U71" s="39"/>
      <c r="V71" s="39"/>
      <c r="W71" s="39"/>
      <c r="X71" s="39"/>
      <c r="Y71" s="39"/>
      <c r="Z71" s="40"/>
    </row>
    <row r="72" spans="2:26" x14ac:dyDescent="0.35">
      <c r="B72" s="41"/>
      <c r="C72" s="39"/>
      <c r="D72" s="39"/>
      <c r="E72" s="39"/>
      <c r="F72" s="39"/>
      <c r="G72" s="39"/>
      <c r="H72" s="39"/>
      <c r="I72" s="39"/>
      <c r="J72" s="39"/>
      <c r="K72" s="39"/>
      <c r="L72" s="39"/>
      <c r="M72" s="39"/>
      <c r="N72" s="39"/>
      <c r="O72" s="39"/>
      <c r="P72" s="39"/>
      <c r="Q72" s="39"/>
      <c r="R72" s="39"/>
      <c r="S72" s="39"/>
      <c r="T72" s="39"/>
      <c r="U72" s="39"/>
      <c r="V72" s="39"/>
      <c r="W72" s="39"/>
      <c r="X72" s="39"/>
      <c r="Y72" s="39"/>
      <c r="Z72" s="40"/>
    </row>
    <row r="73" spans="2:26" x14ac:dyDescent="0.35">
      <c r="B73" s="41"/>
      <c r="C73" s="39"/>
      <c r="D73" s="39"/>
      <c r="E73" s="39"/>
      <c r="F73" s="39"/>
      <c r="G73" s="39"/>
      <c r="H73" s="39"/>
      <c r="I73" s="39"/>
      <c r="J73" s="39"/>
      <c r="K73" s="39"/>
      <c r="L73" s="39"/>
      <c r="M73" s="39"/>
      <c r="N73" s="39"/>
      <c r="O73" s="39"/>
      <c r="P73" s="39"/>
      <c r="Q73" s="39"/>
      <c r="R73" s="39"/>
      <c r="S73" s="39"/>
      <c r="T73" s="39"/>
      <c r="U73" s="39"/>
      <c r="V73" s="39"/>
      <c r="W73" s="39"/>
      <c r="X73" s="39"/>
      <c r="Y73" s="39"/>
      <c r="Z73" s="40"/>
    </row>
    <row r="74" spans="2:26" x14ac:dyDescent="0.35">
      <c r="B74" s="41"/>
      <c r="C74" s="39"/>
      <c r="D74" s="42"/>
      <c r="E74" s="42"/>
      <c r="F74" s="42"/>
      <c r="G74" s="42"/>
      <c r="H74" s="39"/>
      <c r="I74" s="39"/>
      <c r="J74" s="39"/>
      <c r="K74" s="39"/>
      <c r="L74" s="39"/>
      <c r="M74" s="39"/>
      <c r="N74" s="39"/>
      <c r="O74" s="39"/>
      <c r="P74" s="39"/>
      <c r="Q74" s="39"/>
      <c r="R74" s="39"/>
      <c r="S74" s="39"/>
      <c r="T74" s="39"/>
      <c r="U74" s="39"/>
      <c r="V74" s="39"/>
      <c r="W74" s="39"/>
      <c r="X74" s="39"/>
      <c r="Y74" s="39"/>
      <c r="Z74" s="40"/>
    </row>
    <row r="75" spans="2:26" x14ac:dyDescent="0.35">
      <c r="B75" s="41"/>
      <c r="C75" s="39"/>
      <c r="D75" s="39"/>
      <c r="E75" s="39"/>
      <c r="F75" s="39"/>
      <c r="G75" s="39"/>
      <c r="H75" s="39"/>
      <c r="I75" s="39"/>
      <c r="J75" s="39"/>
      <c r="K75" s="39"/>
      <c r="L75" s="39"/>
      <c r="M75" s="39"/>
      <c r="N75" s="39"/>
      <c r="O75" s="39"/>
      <c r="P75" s="39"/>
      <c r="Q75" s="39"/>
      <c r="R75" s="39"/>
      <c r="S75" s="39"/>
      <c r="T75" s="39"/>
      <c r="U75" s="39"/>
      <c r="V75" s="39"/>
      <c r="W75" s="39"/>
      <c r="X75" s="39"/>
      <c r="Y75" s="39"/>
      <c r="Z75" s="40"/>
    </row>
    <row r="76" spans="2:26" ht="15" thickBot="1" x14ac:dyDescent="0.4">
      <c r="B76" s="43"/>
      <c r="C76" s="44"/>
      <c r="D76" s="44"/>
      <c r="E76" s="44"/>
      <c r="F76" s="44"/>
      <c r="G76" s="44"/>
      <c r="H76" s="44"/>
      <c r="I76" s="44"/>
      <c r="J76" s="44"/>
      <c r="K76" s="44"/>
      <c r="L76" s="44"/>
      <c r="M76" s="44"/>
      <c r="N76" s="44"/>
      <c r="O76" s="44"/>
      <c r="P76" s="44"/>
      <c r="Q76" s="44"/>
      <c r="R76" s="44"/>
      <c r="S76" s="44"/>
      <c r="T76" s="44"/>
      <c r="U76" s="44"/>
      <c r="V76" s="44"/>
      <c r="W76" s="44"/>
      <c r="X76" s="44"/>
      <c r="Y76" s="44"/>
      <c r="Z76" s="45"/>
    </row>
    <row r="87" spans="4:6" x14ac:dyDescent="0.35">
      <c r="D87" s="15"/>
      <c r="E87" s="15"/>
      <c r="F87" s="15"/>
    </row>
  </sheetData>
  <mergeCells count="4">
    <mergeCell ref="B2:W3"/>
    <mergeCell ref="S39:Z42"/>
    <mergeCell ref="S38:Z38"/>
    <mergeCell ref="B57:Z58"/>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06C84F55-56DD-4E17-93DA-08162A07257B}">
          <x14:colorSeries rgb="FF376092"/>
          <x14:colorNegative rgb="FFD00000"/>
          <x14:colorAxis rgb="FF000000"/>
          <x14:colorMarkers rgb="FFD00000"/>
          <x14:colorFirst rgb="FFD00000"/>
          <x14:colorLast rgb="FFD00000"/>
          <x14:colorHigh rgb="FFD00000"/>
          <x14:colorLow rgb="FFD00000"/>
          <x14:sparklines>
            <x14:sparkline>
              <xm:sqref>S39</xm:sqref>
            </x14:sparkline>
          </x14:sparklines>
        </x14:sparklineGroup>
      </x14:sparklineGroup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B483F7-ED73-4717-B4DF-2D41BAB6AE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Original_data</vt:lpstr>
      <vt:lpstr>cleandata1.0</vt:lpstr>
      <vt:lpstr>powerquerycleandata2.0</vt:lpstr>
      <vt:lpstr>Business_Questions</vt:lpstr>
      <vt:lpstr>PresentAnalysis1.0</vt:lpstr>
      <vt:lpstr>FutureAnalysis1.0</vt:lpstr>
      <vt:lpstr>FutureAnalysis2.0</vt:lpstr>
      <vt:lpstr>Interpretation_Analysis</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 Adanna</dc:creator>
  <cp:lastModifiedBy>sylviaeze30@gmail.com</cp:lastModifiedBy>
  <dcterms:created xsi:type="dcterms:W3CDTF">2025-12-12T10:23:07Z</dcterms:created>
  <dcterms:modified xsi:type="dcterms:W3CDTF">2025-12-21T16:58:35Z</dcterms:modified>
</cp:coreProperties>
</file>